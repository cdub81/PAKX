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accuracy1st-my.sharepoint.us/personal/colby_accuracy1st_com/Documents/Documents/"/>
    </mc:Choice>
  </mc:AlternateContent>
  <xr:revisionPtr revIDLastSave="528" documentId="14_{64B99DF5-BC82-4806-B4A7-70AEBFEDF634}" xr6:coauthVersionLast="47" xr6:coauthVersionMax="47" xr10:uidLastSave="{65AD22E1-0A1F-4CE5-B168-65FA973EC453}"/>
  <bookViews>
    <workbookView xWindow="15" yWindow="15" windowWidth="21585" windowHeight="13665" activeTab="2" xr2:uid="{00000000-000D-0000-FFFF-FFFF00000000}"/>
  </bookViews>
  <sheets>
    <sheet name="Players" sheetId="1" r:id="rId1"/>
    <sheet name="Task Force A" sheetId="2" r:id="rId2"/>
    <sheet name="Task Force B" sheetId="3" r:id="rId3"/>
    <sheet name="Dashboard" sheetId="4" r:id="rId4"/>
  </sheets>
  <definedNames>
    <definedName name="DupCount">SUMPRODUCT((TFA_Assign&lt;&gt;"")*(COUNTIF(TFA_Assign,TFA_Assign)+COUNTIF(TFB_Assign,TFA_Assign)&gt;1))</definedName>
    <definedName name="TFA_Assign">'Task Force A'!$C$5:$C$200</definedName>
    <definedName name="TFB_Assign">'Task Force B'!$C$5:$C$200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6" i="2" l="1"/>
  <c r="D15" i="2"/>
  <c r="D7" i="2"/>
  <c r="H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100" i="1"/>
  <c r="B7" i="4"/>
  <c r="D47" i="3"/>
  <c r="D46" i="3"/>
  <c r="D45" i="3"/>
  <c r="D44" i="3"/>
  <c r="D43" i="3"/>
  <c r="D42" i="3"/>
  <c r="D41" i="3"/>
  <c r="D40" i="3"/>
  <c r="D39" i="3"/>
  <c r="D38" i="3"/>
  <c r="D34" i="3"/>
  <c r="D33" i="3"/>
  <c r="D32" i="3"/>
  <c r="D31" i="3"/>
  <c r="D30" i="3"/>
  <c r="D26" i="3"/>
  <c r="D25" i="3"/>
  <c r="D24" i="3"/>
  <c r="D23" i="3"/>
  <c r="D22" i="3"/>
  <c r="D18" i="3"/>
  <c r="D17" i="3"/>
  <c r="D16" i="3"/>
  <c r="D15" i="3"/>
  <c r="D11" i="3"/>
  <c r="D10" i="3"/>
  <c r="D9" i="3"/>
  <c r="D8" i="3"/>
  <c r="D7" i="3"/>
  <c r="D6" i="3"/>
  <c r="D47" i="2"/>
  <c r="D46" i="2"/>
  <c r="D45" i="2"/>
  <c r="D44" i="2"/>
  <c r="D43" i="2"/>
  <c r="D42" i="2"/>
  <c r="D41" i="2"/>
  <c r="D40" i="2"/>
  <c r="D39" i="2"/>
  <c r="D38" i="2"/>
  <c r="D34" i="2"/>
  <c r="D33" i="2"/>
  <c r="D32" i="2"/>
  <c r="D31" i="2"/>
  <c r="D30" i="2"/>
  <c r="D26" i="2"/>
  <c r="D25" i="2"/>
  <c r="D24" i="2"/>
  <c r="D23" i="2"/>
  <c r="D22" i="2"/>
  <c r="D18" i="2"/>
  <c r="D17" i="2"/>
  <c r="D11" i="2"/>
  <c r="D10" i="2"/>
  <c r="D9" i="2"/>
  <c r="D8" i="2"/>
  <c r="D6" i="2"/>
  <c r="D35" i="2" l="1"/>
  <c r="D19" i="3"/>
  <c r="D35" i="3"/>
  <c r="D12" i="2"/>
  <c r="D27" i="2"/>
  <c r="D12" i="3"/>
  <c r="D27" i="3"/>
  <c r="D19" i="2"/>
  <c r="D48" i="3"/>
  <c r="D48" i="2"/>
  <c r="B2" i="3" l="1"/>
  <c r="B4" i="4" s="1"/>
  <c r="B2" i="2"/>
  <c r="B3" i="4" s="1"/>
  <c r="C4" i="4" l="1"/>
</calcChain>
</file>

<file path=xl/sharedStrings.xml><?xml version="1.0" encoding="utf-8"?>
<sst xmlns="http://schemas.openxmlformats.org/spreadsheetml/2006/main" count="434" uniqueCount="160">
  <si>
    <t>Player Name</t>
  </si>
  <si>
    <t>Rank</t>
  </si>
  <si>
    <t>Overall Power</t>
  </si>
  <si>
    <t>Squad 1 Power (future)</t>
  </si>
  <si>
    <t>Squad 2 Power (future)</t>
  </si>
  <si>
    <t>Squad 3 Power (future)</t>
  </si>
  <si>
    <t>Squad 4 Power (future)</t>
  </si>
  <si>
    <t>Notes</t>
  </si>
  <si>
    <t>DefenestranatorX</t>
  </si>
  <si>
    <t>R5</t>
  </si>
  <si>
    <t>Cdub81</t>
  </si>
  <si>
    <t>R4</t>
  </si>
  <si>
    <t>Sebby5683</t>
  </si>
  <si>
    <t>Gotchakwik</t>
  </si>
  <si>
    <t>Perky Petunia</t>
  </si>
  <si>
    <t>PleaseBeNice</t>
  </si>
  <si>
    <t>xEibon</t>
  </si>
  <si>
    <t>PlagusStein</t>
  </si>
  <si>
    <t>Zapatista09</t>
  </si>
  <si>
    <t>Auti111</t>
  </si>
  <si>
    <t>champ234</t>
  </si>
  <si>
    <t>R3</t>
  </si>
  <si>
    <t>Patrick t</t>
  </si>
  <si>
    <t>Artorias of TheAbyss</t>
  </si>
  <si>
    <t>xxxxxxy5</t>
  </si>
  <si>
    <t>MelaniaAaa</t>
  </si>
  <si>
    <t>Cowanjo</t>
  </si>
  <si>
    <t>cassuhhdee</t>
  </si>
  <si>
    <t>Neron Cr</t>
  </si>
  <si>
    <t>Hydroplanist</t>
  </si>
  <si>
    <t>Jleehank</t>
  </si>
  <si>
    <t>ShadowFOX</t>
  </si>
  <si>
    <t>WGCSFV</t>
  </si>
  <si>
    <t>WiseWordz</t>
  </si>
  <si>
    <t>K Hole</t>
  </si>
  <si>
    <t>EAlon</t>
  </si>
  <si>
    <t>Moon Beast</t>
  </si>
  <si>
    <t>Mr 3 point 75</t>
  </si>
  <si>
    <t>Action Jackson 59</t>
  </si>
  <si>
    <t>Lostinthewoods</t>
  </si>
  <si>
    <t>King Kong SOS</t>
  </si>
  <si>
    <t>Tomsin72</t>
  </si>
  <si>
    <t>Kor Pepper</t>
  </si>
  <si>
    <t>Great Obliterator</t>
  </si>
  <si>
    <t>ZAlon</t>
  </si>
  <si>
    <t>브룩햄더슈</t>
  </si>
  <si>
    <t>rsltid</t>
  </si>
  <si>
    <t>FRoldo</t>
  </si>
  <si>
    <t>Rotrotomeo</t>
  </si>
  <si>
    <t>Akashi 明石</t>
  </si>
  <si>
    <t>GravyOC</t>
  </si>
  <si>
    <t>LtTally</t>
  </si>
  <si>
    <t>Zonedelta</t>
  </si>
  <si>
    <t>Ruby PR</t>
  </si>
  <si>
    <t>T Crazy 10</t>
  </si>
  <si>
    <t>파파로야</t>
  </si>
  <si>
    <t>Frainho</t>
  </si>
  <si>
    <t>DodoBirrrd</t>
  </si>
  <si>
    <t>Bedis1986</t>
  </si>
  <si>
    <t>wellinsjc</t>
  </si>
  <si>
    <t>Kronoid</t>
  </si>
  <si>
    <t>TwentyFifth Baam</t>
  </si>
  <si>
    <t>指揮官21a462023</t>
  </si>
  <si>
    <t>soldado006</t>
  </si>
  <si>
    <t>SrVizcaino</t>
  </si>
  <si>
    <t>Jagb2011</t>
  </si>
  <si>
    <t>Fernando Oliveira306</t>
  </si>
  <si>
    <t>BigMacFox</t>
  </si>
  <si>
    <t>Crolll</t>
  </si>
  <si>
    <t>IBEWsparky</t>
  </si>
  <si>
    <t>Magicplumb</t>
  </si>
  <si>
    <t>Dictad0r</t>
  </si>
  <si>
    <t>Zombie Slayer 64</t>
  </si>
  <si>
    <t>kaymack</t>
  </si>
  <si>
    <t>열린강당</t>
  </si>
  <si>
    <t>uatataC</t>
  </si>
  <si>
    <t>SlipumDeadHead</t>
  </si>
  <si>
    <t>Jeeb1971</t>
  </si>
  <si>
    <t>Asya Go</t>
  </si>
  <si>
    <t>Ol Copper</t>
  </si>
  <si>
    <t>MandaPandaaa</t>
  </si>
  <si>
    <t>blackflag1</t>
  </si>
  <si>
    <t>Didovi</t>
  </si>
  <si>
    <t>Captain Fett</t>
  </si>
  <si>
    <t>Hippie Mike</t>
  </si>
  <si>
    <t>AChaosG</t>
  </si>
  <si>
    <t>Killin Zombs</t>
  </si>
  <si>
    <t>R2</t>
  </si>
  <si>
    <t>King Ibra</t>
  </si>
  <si>
    <t>scubastevo</t>
  </si>
  <si>
    <t>Amerinda</t>
  </si>
  <si>
    <t>Budda254</t>
  </si>
  <si>
    <t>King Radio</t>
  </si>
  <si>
    <t>Jal Menino</t>
  </si>
  <si>
    <t>ZMBISLAYER</t>
  </si>
  <si>
    <t>DTgreaterthanMS</t>
  </si>
  <si>
    <t>Scottg62</t>
  </si>
  <si>
    <t>Paste/enter your alliance roster starting in row 2. Only 'Player Name' and 'Overall Power' are required right now.</t>
  </si>
  <si>
    <t>Task Force A — Squad Builder</t>
  </si>
  <si>
    <t>Total Task Force Power</t>
  </si>
  <si>
    <t>Select players from dropdowns. Power pulls from Players sheet (Overall Power). Duplicate players highlight red.</t>
  </si>
  <si>
    <t>Squad</t>
  </si>
  <si>
    <t>Slot</t>
  </si>
  <si>
    <t>Player</t>
  </si>
  <si>
    <t>Overall Power (M)</t>
  </si>
  <si>
    <t>Member Type</t>
  </si>
  <si>
    <t>Hospital Squad</t>
  </si>
  <si>
    <t>Strategist</t>
  </si>
  <si>
    <t>Full-time 1</t>
  </si>
  <si>
    <t>Full-time</t>
  </si>
  <si>
    <t>Full-time 2</t>
  </si>
  <si>
    <t>Full-time 3</t>
  </si>
  <si>
    <t>Flex 1</t>
  </si>
  <si>
    <t>Flex</t>
  </si>
  <si>
    <t>Flex 2</t>
  </si>
  <si>
    <t>Squad Total</t>
  </si>
  <si>
    <t>Oil Squad</t>
  </si>
  <si>
    <t>Science &amp; Info Squad</t>
  </si>
  <si>
    <t>Roaming Squad</t>
  </si>
  <si>
    <t>Full-time 4</t>
  </si>
  <si>
    <t>Full-time 5</t>
  </si>
  <si>
    <t>Substitutes</t>
  </si>
  <si>
    <t>Sub 1</t>
  </si>
  <si>
    <t>Sub</t>
  </si>
  <si>
    <t>Sub 2</t>
  </si>
  <si>
    <t>Sub 3</t>
  </si>
  <si>
    <t>Sub 4</t>
  </si>
  <si>
    <t>Sub 5</t>
  </si>
  <si>
    <t>Sub 6</t>
  </si>
  <si>
    <t>Sub 7</t>
  </si>
  <si>
    <t>Sub 8</t>
  </si>
  <si>
    <t>Sub 9</t>
  </si>
  <si>
    <t>Sub 10</t>
  </si>
  <si>
    <t>Sub Total</t>
  </si>
  <si>
    <t>Task Force B — Squad Builder</t>
  </si>
  <si>
    <t>Task Force Power Comparison</t>
  </si>
  <si>
    <t>Task Force</t>
  </si>
  <si>
    <t>Total Power</t>
  </si>
  <si>
    <t>Difference vs A</t>
  </si>
  <si>
    <t>Task Force A</t>
  </si>
  <si>
    <t>Task Force B</t>
  </si>
  <si>
    <t>Roster Checks</t>
  </si>
  <si>
    <t>Any duplicate players across A+B?</t>
  </si>
  <si>
    <t>DaggerSapper6</t>
  </si>
  <si>
    <t>Veneciano II</t>
  </si>
  <si>
    <t>BallouB</t>
  </si>
  <si>
    <t>Total Wall Power</t>
  </si>
  <si>
    <t>Pakxsmallwolf</t>
  </si>
  <si>
    <t>Lengendary Phoenix</t>
  </si>
  <si>
    <t>G R A N D A O  SOS</t>
  </si>
  <si>
    <t>Bottled In Bond</t>
  </si>
  <si>
    <t>Ace 664</t>
  </si>
  <si>
    <t>JuanManRiot</t>
  </si>
  <si>
    <t>Slvrbullets</t>
  </si>
  <si>
    <t>Aintnothing</t>
  </si>
  <si>
    <t>SilentKnight61</t>
  </si>
  <si>
    <t>DuhStroia</t>
  </si>
  <si>
    <t>RangeCoach</t>
  </si>
  <si>
    <t>r4iDIJN</t>
  </si>
  <si>
    <t>K1ngpen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</si>
</sst>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0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i/>
      <sz val="11"/>
      <color rgb="FF666666"/>
      <name val="Calibri"/>
      <family val="2"/>
    </font>
    <font>
      <b/>
      <sz val="16"/>
      <color rgb="FFFFFFFF"/>
      <name val="Calibri"/>
      <family val="2"/>
    </font>
    <font>
      <b/>
      <sz val="11"/>
      <name val="Calibri"/>
      <family val="2"/>
    </font>
    <font>
      <sz val="11"/>
      <color rgb="FF666666"/>
      <name val="Calibri"/>
      <family val="2"/>
    </font>
    <font>
      <b/>
      <sz val="11"/>
      <color rgb="FF1F4E79"/>
      <name val="Calibri"/>
      <family val="2"/>
    </font>
    <font>
      <sz val="11"/>
      <color rgb="FF0000FF"/>
      <name val="Calibri"/>
      <family val="2"/>
    </font>
    <font>
      <sz val="9"/>
      <color theme="1"/>
      <name val="Helvetica"/>
    </font>
    <font>
      <sz val="11"/>
      <color rgb="FF0000FF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9E1F2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rgb="FF9E9E9E"/>
      </left>
      <right style="thin">
        <color rgb="FF9E9E9E"/>
      </right>
      <top style="thin">
        <color rgb="FF9E9E9E"/>
      </top>
      <bottom style="thin">
        <color rgb="FF9E9E9E"/>
      </bottom>
      <diagonal/>
    </border>
    <border>
      <left/>
      <right/>
      <top/>
      <bottom style="thin">
        <color rgb="FF9E9E9E"/>
      </bottom>
      <diagonal/>
    </border>
    <border>
      <left/>
      <right/>
      <top style="thin">
        <color rgb="FF9E9E9E"/>
      </top>
      <bottom style="thin">
        <color rgb="FF9E9E9E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2" xfId="0" applyBorder="1"/>
    <xf numFmtId="3" fontId="0" fillId="0" borderId="2" xfId="0" applyNumberFormat="1" applyBorder="1"/>
    <xf numFmtId="0" fontId="4" fillId="0" borderId="0" xfId="0" applyFont="1"/>
    <xf numFmtId="3" fontId="0" fillId="0" borderId="0" xfId="0" applyNumberFormat="1"/>
    <xf numFmtId="0" fontId="4" fillId="3" borderId="1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left" vertical="center" wrapText="1"/>
    </xf>
    <xf numFmtId="3" fontId="0" fillId="0" borderId="2" xfId="0" applyNumberFormat="1" applyBorder="1" applyAlignment="1">
      <alignment horizontal="right" vertical="center"/>
    </xf>
    <xf numFmtId="0" fontId="4" fillId="0" borderId="3" xfId="0" applyFont="1" applyBorder="1"/>
    <xf numFmtId="0" fontId="0" fillId="0" borderId="3" xfId="0" applyBorder="1"/>
    <xf numFmtId="3" fontId="4" fillId="0" borderId="3" xfId="0" applyNumberFormat="1" applyFont="1" applyBorder="1"/>
    <xf numFmtId="0" fontId="8" fillId="0" borderId="0" xfId="0" applyFont="1" applyAlignment="1">
      <alignment wrapText="1"/>
    </xf>
    <xf numFmtId="0" fontId="0" fillId="4" borderId="0" xfId="0" applyFill="1"/>
    <xf numFmtId="0" fontId="2" fillId="0" borderId="0" xfId="0" applyFont="1"/>
    <xf numFmtId="0" fontId="0" fillId="0" borderId="0" xfId="0"/>
    <xf numFmtId="4" fontId="0" fillId="0" borderId="2" xfId="0" applyNumberFormat="1" applyBorder="1"/>
    <xf numFmtId="4" fontId="0" fillId="0" borderId="0" xfId="0" applyNumberFormat="1" applyFill="1" applyBorder="1"/>
    <xf numFmtId="0" fontId="0" fillId="0" borderId="0" xfId="0"/>
    <xf numFmtId="0" fontId="7" fillId="0" borderId="2" xfId="0" applyFont="1" applyFill="1" applyBorder="1" applyAlignment="1">
      <alignment horizontal="left" vertical="center" wrapText="1"/>
    </xf>
    <xf numFmtId="0" fontId="0" fillId="0" borderId="3" xfId="0" applyFill="1" applyBorder="1"/>
    <xf numFmtId="0" fontId="7" fillId="0" borderId="4" xfId="0" applyFont="1" applyFill="1" applyBorder="1" applyAlignment="1">
      <alignment horizontal="left" vertical="center" wrapText="1"/>
    </xf>
    <xf numFmtId="0" fontId="9" fillId="0" borderId="2" xfId="0" applyFont="1" applyFill="1" applyBorder="1" applyAlignment="1">
      <alignment horizontal="left" vertical="center" wrapText="1"/>
    </xf>
    <xf numFmtId="0" fontId="3" fillId="2" borderId="0" xfId="0" applyFont="1" applyFill="1" applyAlignment="1">
      <alignment horizontal="center" vertical="center" wrapText="1"/>
    </xf>
    <xf numFmtId="0" fontId="0" fillId="0" borderId="0" xfId="0"/>
    <xf numFmtId="0" fontId="5" fillId="0" borderId="0" xfId="0" applyFont="1"/>
    <xf numFmtId="0" fontId="6" fillId="3" borderId="0" xfId="0" applyFont="1" applyFill="1" applyAlignment="1">
      <alignment horizontal="left" vertical="center" wrapText="1"/>
    </xf>
    <xf numFmtId="0" fontId="0" fillId="0" borderId="0" xfId="0" applyFill="1"/>
  </cellXfs>
  <cellStyles count="1">
    <cellStyle name="Normal" xfId="0" builtinId="0"/>
  </cellStyles>
  <dxfs count="4">
    <dxf>
      <font>
        <b/>
        <color rgb="FFFFFFFF"/>
      </font>
      <fill>
        <patternFill patternType="solid">
          <fgColor rgb="FFFF0000"/>
          <bgColor rgb="FFFF0000"/>
        </patternFill>
      </fill>
    </dxf>
    <dxf>
      <fill>
        <patternFill>
          <bgColor rgb="FFF8CBAD"/>
        </patternFill>
      </fill>
    </dxf>
    <dxf>
      <font>
        <b/>
        <color rgb="FFFFFFFF"/>
      </font>
      <fill>
        <patternFill patternType="solid">
          <fgColor rgb="FFFF0000"/>
          <bgColor rgb="FFFF0000"/>
        </patternFill>
      </fill>
    </dxf>
    <dxf>
      <fill>
        <patternFill>
          <bgColor rgb="FFF8CBAD"/>
        </patternFill>
      </fill>
    </dxf>
  </dxfs>
  <tableStyles count="1" defaultTableStyle="TableStyleMedium2" defaultPivotStyle="PivotStyleLight16">
    <tableStyle name="Invisible" pivot="0" table="0" count="0" xr9:uid="{00000000-0011-0000-FFFF-FFFF0000000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03"/>
  <sheetViews>
    <sheetView showGridLines="0" topLeftCell="A72" workbookViewId="0">
      <selection activeCell="D103" sqref="D103"/>
    </sheetView>
  </sheetViews>
  <sheetFormatPr defaultRowHeight="14.25" x14ac:dyDescent="0.45"/>
  <cols>
    <col min="1" max="1" width="22" style="15" customWidth="1"/>
    <col min="2" max="2" width="10" style="15" customWidth="1"/>
    <col min="3" max="3" width="16" style="15" customWidth="1"/>
    <col min="4" max="7" width="20" style="15" customWidth="1"/>
    <col min="8" max="8" width="18" style="15" customWidth="1"/>
  </cols>
  <sheetData>
    <row r="1" spans="1:10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146</v>
      </c>
    </row>
    <row r="2" spans="1:10" x14ac:dyDescent="0.45">
      <c r="A2" t="s">
        <v>8</v>
      </c>
      <c r="B2" t="s">
        <v>9</v>
      </c>
      <c r="C2">
        <v>37.299999999999997</v>
      </c>
      <c r="D2" s="16">
        <v>13.79</v>
      </c>
      <c r="E2" s="16">
        <v>7.11</v>
      </c>
      <c r="F2" s="16">
        <v>6.32</v>
      </c>
      <c r="G2" s="16">
        <v>8.36</v>
      </c>
      <c r="H2" s="16">
        <f>G2+F2+E2+D2</f>
        <v>35.58</v>
      </c>
      <c r="J2" s="17">
        <v>20</v>
      </c>
    </row>
    <row r="3" spans="1:10" x14ac:dyDescent="0.45">
      <c r="A3" t="s">
        <v>10</v>
      </c>
      <c r="B3" t="s">
        <v>11</v>
      </c>
      <c r="C3">
        <v>36</v>
      </c>
      <c r="D3" s="16">
        <v>9.8000000000000007</v>
      </c>
      <c r="E3" s="16">
        <v>6.55</v>
      </c>
      <c r="F3" s="16">
        <v>5.58</v>
      </c>
      <c r="G3" s="16"/>
      <c r="H3" s="16">
        <f t="shared" ref="H3:H66" si="0">G3+F3+E3+D3</f>
        <v>21.93</v>
      </c>
    </row>
    <row r="4" spans="1:10" x14ac:dyDescent="0.45">
      <c r="A4" t="s">
        <v>12</v>
      </c>
      <c r="B4" t="s">
        <v>11</v>
      </c>
      <c r="C4">
        <v>45.1</v>
      </c>
      <c r="D4" s="16">
        <v>13.59</v>
      </c>
      <c r="E4" s="16">
        <v>8.5500000000000007</v>
      </c>
      <c r="F4" s="16">
        <v>7.39</v>
      </c>
      <c r="G4" s="16">
        <v>8.9600000000000009</v>
      </c>
      <c r="H4" s="16">
        <f t="shared" si="0"/>
        <v>38.49</v>
      </c>
    </row>
    <row r="5" spans="1:10" x14ac:dyDescent="0.45">
      <c r="A5" t="s">
        <v>13</v>
      </c>
      <c r="B5" t="s">
        <v>11</v>
      </c>
      <c r="C5">
        <v>41.5</v>
      </c>
      <c r="D5" s="16">
        <v>10.85</v>
      </c>
      <c r="E5" s="16">
        <v>6.81</v>
      </c>
      <c r="F5" s="16">
        <v>6.15</v>
      </c>
      <c r="G5" s="16"/>
      <c r="H5" s="16">
        <f t="shared" si="0"/>
        <v>23.810000000000002</v>
      </c>
    </row>
    <row r="6" spans="1:10" x14ac:dyDescent="0.45">
      <c r="A6" t="s">
        <v>14</v>
      </c>
      <c r="B6" t="s">
        <v>11</v>
      </c>
      <c r="C6">
        <v>62.3</v>
      </c>
      <c r="D6" s="16">
        <v>13.64</v>
      </c>
      <c r="E6" s="16">
        <v>8.7899999999999991</v>
      </c>
      <c r="F6" s="16">
        <v>8.64</v>
      </c>
      <c r="G6" s="16">
        <v>7.57</v>
      </c>
      <c r="H6" s="16">
        <f t="shared" si="0"/>
        <v>38.64</v>
      </c>
    </row>
    <row r="7" spans="1:10" x14ac:dyDescent="0.45">
      <c r="A7" t="s">
        <v>15</v>
      </c>
      <c r="B7" t="s">
        <v>11</v>
      </c>
      <c r="C7">
        <v>49.7</v>
      </c>
      <c r="D7" s="16">
        <v>12.71</v>
      </c>
      <c r="E7" s="16">
        <v>7.73</v>
      </c>
      <c r="F7" s="16">
        <v>7.55</v>
      </c>
      <c r="G7" s="16">
        <v>6.3</v>
      </c>
      <c r="H7" s="16">
        <f t="shared" si="0"/>
        <v>34.29</v>
      </c>
    </row>
    <row r="8" spans="1:10" x14ac:dyDescent="0.45">
      <c r="A8" t="s">
        <v>16</v>
      </c>
      <c r="B8" t="s">
        <v>11</v>
      </c>
      <c r="C8">
        <v>34.700000000000003</v>
      </c>
      <c r="D8" s="16">
        <v>11.68</v>
      </c>
      <c r="E8" s="16">
        <v>6.17</v>
      </c>
      <c r="F8" s="16">
        <v>5.52</v>
      </c>
      <c r="G8" s="16">
        <v>8.44</v>
      </c>
      <c r="H8" s="16">
        <f t="shared" si="0"/>
        <v>31.81</v>
      </c>
    </row>
    <row r="9" spans="1:10" x14ac:dyDescent="0.45">
      <c r="A9" t="s">
        <v>17</v>
      </c>
      <c r="B9" t="s">
        <v>11</v>
      </c>
      <c r="C9">
        <v>65.599999999999994</v>
      </c>
      <c r="D9" s="16">
        <v>16.579999999999998</v>
      </c>
      <c r="E9" s="16">
        <v>10.4</v>
      </c>
      <c r="F9" s="16">
        <v>10.4</v>
      </c>
      <c r="G9" s="16">
        <v>10.47</v>
      </c>
      <c r="H9" s="16">
        <f t="shared" si="0"/>
        <v>47.85</v>
      </c>
    </row>
    <row r="10" spans="1:10" x14ac:dyDescent="0.45">
      <c r="A10" t="s">
        <v>18</v>
      </c>
      <c r="B10" t="s">
        <v>11</v>
      </c>
      <c r="C10">
        <v>35.700000000000003</v>
      </c>
      <c r="D10" s="16">
        <v>9.9</v>
      </c>
      <c r="E10" s="16">
        <v>6.65</v>
      </c>
      <c r="F10" s="16">
        <v>5.18</v>
      </c>
      <c r="G10" s="16"/>
      <c r="H10" s="16">
        <f t="shared" si="0"/>
        <v>21.73</v>
      </c>
    </row>
    <row r="11" spans="1:10" x14ac:dyDescent="0.45">
      <c r="A11" t="s">
        <v>76</v>
      </c>
      <c r="B11" t="s">
        <v>11</v>
      </c>
      <c r="C11">
        <v>31.7</v>
      </c>
      <c r="D11" s="16">
        <v>10.28</v>
      </c>
      <c r="E11" s="16">
        <v>4.49</v>
      </c>
      <c r="F11" s="16">
        <v>4.4400000000000004</v>
      </c>
      <c r="G11" s="16">
        <v>7.24</v>
      </c>
      <c r="H11" s="16">
        <f t="shared" si="0"/>
        <v>26.450000000000003</v>
      </c>
    </row>
    <row r="12" spans="1:10" x14ac:dyDescent="0.45">
      <c r="A12" t="s">
        <v>19</v>
      </c>
      <c r="B12" t="s">
        <v>11</v>
      </c>
      <c r="C12">
        <v>44.7</v>
      </c>
      <c r="D12" s="16">
        <v>9.84</v>
      </c>
      <c r="E12" s="16">
        <v>7.35</v>
      </c>
      <c r="F12" s="16">
        <v>5.91</v>
      </c>
      <c r="G12" s="16">
        <v>5.16</v>
      </c>
      <c r="H12" s="16">
        <f t="shared" si="0"/>
        <v>28.26</v>
      </c>
    </row>
    <row r="13" spans="1:10" x14ac:dyDescent="0.45">
      <c r="A13" t="s">
        <v>20</v>
      </c>
      <c r="B13" t="s">
        <v>21</v>
      </c>
      <c r="C13">
        <v>44.7</v>
      </c>
      <c r="D13" s="16"/>
      <c r="E13" s="16"/>
      <c r="F13" s="16"/>
      <c r="G13" s="16"/>
      <c r="H13" s="16">
        <f t="shared" si="0"/>
        <v>0</v>
      </c>
    </row>
    <row r="14" spans="1:10" x14ac:dyDescent="0.45">
      <c r="A14" t="s">
        <v>22</v>
      </c>
      <c r="B14" t="s">
        <v>21</v>
      </c>
      <c r="C14">
        <v>29.1</v>
      </c>
      <c r="D14" s="16"/>
      <c r="E14" s="16"/>
      <c r="F14" s="16"/>
      <c r="G14" s="16"/>
      <c r="H14" s="16">
        <f t="shared" si="0"/>
        <v>0</v>
      </c>
    </row>
    <row r="15" spans="1:10" x14ac:dyDescent="0.45">
      <c r="A15" t="s">
        <v>23</v>
      </c>
      <c r="B15" t="s">
        <v>21</v>
      </c>
      <c r="C15">
        <v>26.9</v>
      </c>
      <c r="D15" s="16">
        <v>7.9</v>
      </c>
      <c r="E15" s="16">
        <v>4.2699999999999996</v>
      </c>
      <c r="F15" s="16">
        <v>3.67</v>
      </c>
      <c r="G15" s="16"/>
      <c r="H15" s="16">
        <f t="shared" si="0"/>
        <v>15.84</v>
      </c>
    </row>
    <row r="16" spans="1:10" x14ac:dyDescent="0.45">
      <c r="A16" t="s">
        <v>24</v>
      </c>
      <c r="B16" t="s">
        <v>21</v>
      </c>
      <c r="C16">
        <v>39.5</v>
      </c>
      <c r="D16" s="16">
        <v>10.92</v>
      </c>
      <c r="E16" s="16">
        <v>7.02</v>
      </c>
      <c r="F16" s="16">
        <v>6.27</v>
      </c>
      <c r="G16" s="16"/>
      <c r="H16" s="16">
        <f t="shared" si="0"/>
        <v>24.21</v>
      </c>
    </row>
    <row r="17" spans="1:8" x14ac:dyDescent="0.45">
      <c r="A17" t="s">
        <v>25</v>
      </c>
      <c r="B17" t="s">
        <v>21</v>
      </c>
      <c r="C17">
        <v>26.2</v>
      </c>
      <c r="D17" s="16">
        <v>6.54</v>
      </c>
      <c r="E17" s="16">
        <v>6.34</v>
      </c>
      <c r="F17" s="16">
        <v>5.37</v>
      </c>
      <c r="G17" s="16">
        <v>4.5</v>
      </c>
      <c r="H17" s="16">
        <f t="shared" si="0"/>
        <v>22.75</v>
      </c>
    </row>
    <row r="18" spans="1:8" x14ac:dyDescent="0.45">
      <c r="A18" t="s">
        <v>26</v>
      </c>
      <c r="B18" t="s">
        <v>21</v>
      </c>
      <c r="C18">
        <v>55.6</v>
      </c>
      <c r="D18" s="16">
        <v>11.51</v>
      </c>
      <c r="E18" s="16">
        <v>7.94</v>
      </c>
      <c r="F18" s="16">
        <v>6.62</v>
      </c>
      <c r="G18" s="16">
        <v>7.21</v>
      </c>
      <c r="H18" s="16">
        <f t="shared" si="0"/>
        <v>33.28</v>
      </c>
    </row>
    <row r="19" spans="1:8" x14ac:dyDescent="0.45">
      <c r="A19" t="s">
        <v>27</v>
      </c>
      <c r="B19" t="s">
        <v>21</v>
      </c>
      <c r="C19">
        <v>23.8</v>
      </c>
      <c r="D19" s="16"/>
      <c r="E19" s="16"/>
      <c r="F19" s="16"/>
      <c r="G19" s="16"/>
      <c r="H19" s="16">
        <f t="shared" si="0"/>
        <v>0</v>
      </c>
    </row>
    <row r="20" spans="1:8" x14ac:dyDescent="0.45">
      <c r="A20" t="s">
        <v>28</v>
      </c>
      <c r="B20" t="s">
        <v>21</v>
      </c>
      <c r="C20">
        <v>41.3</v>
      </c>
      <c r="D20" s="16"/>
      <c r="E20" s="16"/>
      <c r="F20" s="16"/>
      <c r="G20" s="16"/>
      <c r="H20" s="16">
        <f t="shared" si="0"/>
        <v>0</v>
      </c>
    </row>
    <row r="21" spans="1:8" x14ac:dyDescent="0.45">
      <c r="A21" t="s">
        <v>29</v>
      </c>
      <c r="B21" t="s">
        <v>21</v>
      </c>
      <c r="C21">
        <v>45.3</v>
      </c>
      <c r="D21" s="16">
        <v>9.11</v>
      </c>
      <c r="E21" s="16">
        <v>6.37</v>
      </c>
      <c r="F21" s="16">
        <v>6.06</v>
      </c>
      <c r="G21" s="16"/>
      <c r="H21" s="16">
        <f t="shared" si="0"/>
        <v>21.54</v>
      </c>
    </row>
    <row r="22" spans="1:8" x14ac:dyDescent="0.45">
      <c r="A22" t="s">
        <v>30</v>
      </c>
      <c r="B22" t="s">
        <v>21</v>
      </c>
      <c r="C22">
        <v>40.9</v>
      </c>
      <c r="D22" s="16">
        <v>10.65</v>
      </c>
      <c r="E22" s="16">
        <v>6.84</v>
      </c>
      <c r="F22" s="16">
        <v>6.34</v>
      </c>
      <c r="G22" s="16">
        <v>5.56</v>
      </c>
      <c r="H22" s="16">
        <f t="shared" si="0"/>
        <v>29.39</v>
      </c>
    </row>
    <row r="23" spans="1:8" x14ac:dyDescent="0.45">
      <c r="A23" t="s">
        <v>31</v>
      </c>
      <c r="B23" t="s">
        <v>21</v>
      </c>
      <c r="C23">
        <v>21.6</v>
      </c>
      <c r="D23" s="16"/>
      <c r="E23" s="16"/>
      <c r="F23" s="16"/>
      <c r="G23" s="16"/>
      <c r="H23" s="16">
        <f t="shared" si="0"/>
        <v>0</v>
      </c>
    </row>
    <row r="24" spans="1:8" x14ac:dyDescent="0.45">
      <c r="A24" t="s">
        <v>32</v>
      </c>
      <c r="B24" t="s">
        <v>21</v>
      </c>
      <c r="C24">
        <v>40.5</v>
      </c>
      <c r="D24" s="16">
        <v>9.69</v>
      </c>
      <c r="E24" s="16">
        <v>6.38</v>
      </c>
      <c r="F24" s="16">
        <v>5.53</v>
      </c>
      <c r="G24" s="16">
        <v>5.38</v>
      </c>
      <c r="H24" s="16">
        <f t="shared" si="0"/>
        <v>26.979999999999997</v>
      </c>
    </row>
    <row r="25" spans="1:8" x14ac:dyDescent="0.45">
      <c r="A25" t="s">
        <v>33</v>
      </c>
      <c r="B25" t="s">
        <v>21</v>
      </c>
      <c r="C25">
        <v>30.7</v>
      </c>
      <c r="D25" s="16">
        <v>9.14</v>
      </c>
      <c r="E25" s="16">
        <v>6.79</v>
      </c>
      <c r="F25" s="16">
        <v>5.6</v>
      </c>
      <c r="G25" s="16"/>
      <c r="H25" s="16">
        <f t="shared" si="0"/>
        <v>21.53</v>
      </c>
    </row>
    <row r="26" spans="1:8" x14ac:dyDescent="0.45">
      <c r="A26" t="s">
        <v>34</v>
      </c>
      <c r="B26" t="s">
        <v>21</v>
      </c>
      <c r="C26">
        <v>36.1</v>
      </c>
      <c r="D26" s="16">
        <v>9.39</v>
      </c>
      <c r="E26" s="16">
        <v>5.98</v>
      </c>
      <c r="F26" s="16">
        <v>7.7</v>
      </c>
      <c r="G26" s="16">
        <v>7.73</v>
      </c>
      <c r="H26" s="16">
        <f t="shared" si="0"/>
        <v>30.8</v>
      </c>
    </row>
    <row r="27" spans="1:8" x14ac:dyDescent="0.45">
      <c r="A27" t="s">
        <v>35</v>
      </c>
      <c r="B27" t="s">
        <v>21</v>
      </c>
      <c r="C27">
        <v>29.9</v>
      </c>
      <c r="D27" s="16">
        <v>9.39</v>
      </c>
      <c r="E27" s="16">
        <v>5.23</v>
      </c>
      <c r="F27" s="16">
        <v>4.6399999999999997</v>
      </c>
      <c r="G27" s="16"/>
      <c r="H27" s="16">
        <f t="shared" si="0"/>
        <v>19.260000000000002</v>
      </c>
    </row>
    <row r="28" spans="1:8" x14ac:dyDescent="0.45">
      <c r="A28" t="s">
        <v>36</v>
      </c>
      <c r="B28" t="s">
        <v>21</v>
      </c>
      <c r="C28">
        <v>28.2</v>
      </c>
      <c r="D28" s="16">
        <v>7.63</v>
      </c>
      <c r="E28" s="16">
        <v>6.09</v>
      </c>
      <c r="F28" s="16">
        <v>4.91</v>
      </c>
      <c r="G28" s="16"/>
      <c r="H28" s="16">
        <f t="shared" si="0"/>
        <v>18.63</v>
      </c>
    </row>
    <row r="29" spans="1:8" x14ac:dyDescent="0.45">
      <c r="A29" t="s">
        <v>37</v>
      </c>
      <c r="B29" t="s">
        <v>21</v>
      </c>
      <c r="C29">
        <v>36.9</v>
      </c>
      <c r="D29" s="16"/>
      <c r="E29" s="16"/>
      <c r="F29" s="16"/>
      <c r="G29" s="16"/>
      <c r="H29" s="16">
        <f t="shared" si="0"/>
        <v>0</v>
      </c>
    </row>
    <row r="30" spans="1:8" x14ac:dyDescent="0.45">
      <c r="A30" s="15" t="s">
        <v>144</v>
      </c>
      <c r="B30" s="15" t="s">
        <v>21</v>
      </c>
      <c r="C30" s="15">
        <v>75.099999999999994</v>
      </c>
      <c r="D30" s="16">
        <v>15.57</v>
      </c>
      <c r="E30" s="16">
        <v>13.65</v>
      </c>
      <c r="F30" s="16">
        <v>11.53</v>
      </c>
      <c r="G30" s="16">
        <v>8.9700000000000006</v>
      </c>
      <c r="H30" s="16">
        <f t="shared" si="0"/>
        <v>49.72</v>
      </c>
    </row>
    <row r="31" spans="1:8" x14ac:dyDescent="0.45">
      <c r="A31" t="s">
        <v>38</v>
      </c>
      <c r="B31" t="s">
        <v>21</v>
      </c>
      <c r="C31">
        <v>29.6</v>
      </c>
      <c r="D31" s="16"/>
      <c r="E31" s="16"/>
      <c r="F31" s="16"/>
      <c r="G31" s="16"/>
      <c r="H31" s="16">
        <f t="shared" si="0"/>
        <v>0</v>
      </c>
    </row>
    <row r="32" spans="1:8" x14ac:dyDescent="0.45">
      <c r="A32" t="s">
        <v>39</v>
      </c>
      <c r="B32" t="s">
        <v>21</v>
      </c>
      <c r="C32">
        <v>25.1</v>
      </c>
      <c r="D32" s="16"/>
      <c r="E32" s="16"/>
      <c r="F32" s="16"/>
      <c r="G32" s="16"/>
      <c r="H32" s="16">
        <f t="shared" si="0"/>
        <v>0</v>
      </c>
    </row>
    <row r="33" spans="1:10" x14ac:dyDescent="0.45">
      <c r="A33" t="s">
        <v>40</v>
      </c>
      <c r="B33" t="s">
        <v>21</v>
      </c>
      <c r="C33">
        <v>35.4</v>
      </c>
      <c r="D33" s="16">
        <v>12.44</v>
      </c>
      <c r="E33" s="16">
        <v>8.0299999999999994</v>
      </c>
      <c r="F33" s="16">
        <v>6.53</v>
      </c>
      <c r="G33" s="16"/>
      <c r="H33" s="16">
        <f t="shared" si="0"/>
        <v>27</v>
      </c>
    </row>
    <row r="34" spans="1:10" x14ac:dyDescent="0.45">
      <c r="A34" t="s">
        <v>41</v>
      </c>
      <c r="B34" t="s">
        <v>21</v>
      </c>
      <c r="C34">
        <v>29</v>
      </c>
      <c r="D34" s="16">
        <v>7.05</v>
      </c>
      <c r="E34" s="16">
        <v>5.41</v>
      </c>
      <c r="F34" s="16">
        <v>4.46</v>
      </c>
      <c r="G34" s="16"/>
      <c r="H34" s="16">
        <f t="shared" si="0"/>
        <v>16.920000000000002</v>
      </c>
    </row>
    <row r="35" spans="1:10" x14ac:dyDescent="0.45">
      <c r="A35" t="s">
        <v>42</v>
      </c>
      <c r="B35" t="s">
        <v>21</v>
      </c>
      <c r="C35">
        <v>30.1</v>
      </c>
      <c r="D35" s="16">
        <v>10.41</v>
      </c>
      <c r="E35" s="16">
        <v>6.79</v>
      </c>
      <c r="F35" s="16">
        <v>6.2</v>
      </c>
      <c r="G35" s="16"/>
      <c r="H35" s="16">
        <f t="shared" si="0"/>
        <v>23.4</v>
      </c>
    </row>
    <row r="36" spans="1:10" x14ac:dyDescent="0.45">
      <c r="A36" t="s">
        <v>43</v>
      </c>
      <c r="B36" t="s">
        <v>21</v>
      </c>
      <c r="C36">
        <v>30</v>
      </c>
      <c r="D36" s="16"/>
      <c r="E36" s="16"/>
      <c r="F36" s="16"/>
      <c r="G36" s="16"/>
      <c r="H36" s="16">
        <f t="shared" si="0"/>
        <v>0</v>
      </c>
    </row>
    <row r="37" spans="1:10" x14ac:dyDescent="0.45">
      <c r="A37" t="s">
        <v>44</v>
      </c>
      <c r="B37" t="s">
        <v>21</v>
      </c>
      <c r="C37">
        <v>17.899999999999999</v>
      </c>
      <c r="D37" s="16"/>
      <c r="E37" s="16"/>
      <c r="F37" s="16"/>
      <c r="G37" s="16"/>
      <c r="H37" s="16">
        <f t="shared" si="0"/>
        <v>0</v>
      </c>
    </row>
    <row r="38" spans="1:10" x14ac:dyDescent="0.45">
      <c r="A38" s="12" t="s">
        <v>45</v>
      </c>
      <c r="B38" t="s">
        <v>21</v>
      </c>
      <c r="C38">
        <v>37.700000000000003</v>
      </c>
      <c r="D38" s="16"/>
      <c r="E38" s="16"/>
      <c r="F38" s="16"/>
      <c r="G38" s="16"/>
      <c r="H38" s="16">
        <f t="shared" si="0"/>
        <v>0</v>
      </c>
    </row>
    <row r="39" spans="1:10" x14ac:dyDescent="0.45">
      <c r="A39" t="s">
        <v>46</v>
      </c>
      <c r="B39" t="s">
        <v>21</v>
      </c>
      <c r="C39">
        <v>37.700000000000003</v>
      </c>
      <c r="D39" s="16"/>
      <c r="E39" s="16"/>
      <c r="F39" s="16"/>
      <c r="G39" s="16"/>
      <c r="H39" s="16">
        <f t="shared" si="0"/>
        <v>0</v>
      </c>
    </row>
    <row r="40" spans="1:10" x14ac:dyDescent="0.45">
      <c r="A40" t="s">
        <v>47</v>
      </c>
      <c r="B40" t="s">
        <v>21</v>
      </c>
      <c r="C40">
        <v>31.2</v>
      </c>
      <c r="D40" s="16">
        <v>9.07</v>
      </c>
      <c r="E40" s="16">
        <v>5.47</v>
      </c>
      <c r="F40" s="16">
        <v>4.41</v>
      </c>
      <c r="G40" s="16"/>
      <c r="H40" s="16">
        <f t="shared" si="0"/>
        <v>18.95</v>
      </c>
    </row>
    <row r="41" spans="1:10" x14ac:dyDescent="0.45">
      <c r="A41" t="s">
        <v>48</v>
      </c>
      <c r="B41" t="s">
        <v>21</v>
      </c>
      <c r="C41">
        <v>39.799999999999997</v>
      </c>
      <c r="D41" s="16">
        <v>12.55</v>
      </c>
      <c r="E41" s="16">
        <v>7.78</v>
      </c>
      <c r="F41" s="16">
        <v>6.67</v>
      </c>
      <c r="G41" s="16">
        <v>9.02</v>
      </c>
      <c r="H41" s="16">
        <f t="shared" si="0"/>
        <v>36.019999999999996</v>
      </c>
    </row>
    <row r="42" spans="1:10" x14ac:dyDescent="0.45">
      <c r="A42" t="s">
        <v>148</v>
      </c>
      <c r="B42" t="s">
        <v>21</v>
      </c>
      <c r="C42">
        <v>30.1</v>
      </c>
      <c r="D42" s="16">
        <v>5.99</v>
      </c>
      <c r="E42" s="16">
        <v>5.5</v>
      </c>
      <c r="F42" s="16">
        <v>3.74</v>
      </c>
      <c r="G42" s="16"/>
      <c r="H42" s="16">
        <f t="shared" si="0"/>
        <v>15.23</v>
      </c>
    </row>
    <row r="43" spans="1:10" x14ac:dyDescent="0.45">
      <c r="A43" s="12" t="s">
        <v>49</v>
      </c>
      <c r="B43" t="s">
        <v>21</v>
      </c>
      <c r="C43">
        <v>33.700000000000003</v>
      </c>
      <c r="D43" s="16"/>
      <c r="E43" s="16"/>
      <c r="F43" s="16"/>
      <c r="G43" s="16"/>
      <c r="H43" s="16">
        <f t="shared" si="0"/>
        <v>0</v>
      </c>
    </row>
    <row r="44" spans="1:10" x14ac:dyDescent="0.45">
      <c r="A44" t="s">
        <v>50</v>
      </c>
      <c r="B44" t="s">
        <v>21</v>
      </c>
      <c r="C44">
        <v>34.5</v>
      </c>
      <c r="D44" s="16"/>
      <c r="E44" s="16"/>
      <c r="F44" s="16"/>
      <c r="G44" s="16"/>
      <c r="H44" s="16">
        <f t="shared" si="0"/>
        <v>0</v>
      </c>
    </row>
    <row r="45" spans="1:10" x14ac:dyDescent="0.45">
      <c r="A45" t="s">
        <v>51</v>
      </c>
      <c r="B45" t="s">
        <v>21</v>
      </c>
      <c r="C45">
        <v>24.4</v>
      </c>
      <c r="D45" s="16">
        <v>7.45</v>
      </c>
      <c r="E45" s="16">
        <v>4.93</v>
      </c>
      <c r="F45" s="16">
        <v>4.26</v>
      </c>
      <c r="G45" s="16"/>
      <c r="H45" s="16">
        <f t="shared" si="0"/>
        <v>16.64</v>
      </c>
    </row>
    <row r="46" spans="1:10" x14ac:dyDescent="0.45">
      <c r="A46" t="s">
        <v>52</v>
      </c>
      <c r="B46" t="s">
        <v>21</v>
      </c>
      <c r="C46">
        <v>31.1</v>
      </c>
      <c r="D46" s="16"/>
      <c r="E46" s="16"/>
      <c r="F46" s="16"/>
      <c r="G46" s="16"/>
      <c r="H46" s="16">
        <f t="shared" si="0"/>
        <v>0</v>
      </c>
      <c r="J46" s="12"/>
    </row>
    <row r="47" spans="1:10" x14ac:dyDescent="0.45">
      <c r="A47" t="s">
        <v>53</v>
      </c>
      <c r="B47" t="s">
        <v>21</v>
      </c>
      <c r="C47">
        <v>34.200000000000003</v>
      </c>
      <c r="D47" s="16">
        <v>12.61</v>
      </c>
      <c r="E47" s="16">
        <v>6.05</v>
      </c>
      <c r="F47" s="16">
        <v>4.1100000000000003</v>
      </c>
      <c r="G47" s="16">
        <v>6.55</v>
      </c>
      <c r="H47" s="16">
        <f t="shared" si="0"/>
        <v>29.32</v>
      </c>
    </row>
    <row r="48" spans="1:10" x14ac:dyDescent="0.45">
      <c r="A48" t="s">
        <v>54</v>
      </c>
      <c r="B48" t="s">
        <v>21</v>
      </c>
      <c r="C48">
        <v>31.8</v>
      </c>
      <c r="D48" s="16"/>
      <c r="E48" s="16"/>
      <c r="F48" s="16"/>
      <c r="G48" s="16"/>
      <c r="H48" s="16">
        <f t="shared" si="0"/>
        <v>0</v>
      </c>
    </row>
    <row r="49" spans="1:8" x14ac:dyDescent="0.45">
      <c r="A49" s="12" t="s">
        <v>55</v>
      </c>
      <c r="B49" t="s">
        <v>21</v>
      </c>
      <c r="C49">
        <v>30.3</v>
      </c>
      <c r="D49" s="16"/>
      <c r="E49" s="16"/>
      <c r="F49" s="16"/>
      <c r="G49" s="16"/>
      <c r="H49" s="16">
        <f t="shared" si="0"/>
        <v>0</v>
      </c>
    </row>
    <row r="50" spans="1:8" x14ac:dyDescent="0.45">
      <c r="A50" t="s">
        <v>56</v>
      </c>
      <c r="B50" t="s">
        <v>21</v>
      </c>
      <c r="C50">
        <v>31.5</v>
      </c>
      <c r="D50" s="16"/>
      <c r="E50" s="16"/>
      <c r="F50" s="16"/>
      <c r="G50" s="16"/>
      <c r="H50" s="16">
        <f t="shared" si="0"/>
        <v>0</v>
      </c>
    </row>
    <row r="51" spans="1:8" x14ac:dyDescent="0.45">
      <c r="A51" t="s">
        <v>57</v>
      </c>
      <c r="B51" t="s">
        <v>21</v>
      </c>
      <c r="C51">
        <v>28</v>
      </c>
      <c r="D51" s="16"/>
      <c r="E51" s="16"/>
      <c r="F51" s="16"/>
      <c r="G51" s="16"/>
      <c r="H51" s="16">
        <f t="shared" si="0"/>
        <v>0</v>
      </c>
    </row>
    <row r="52" spans="1:8" x14ac:dyDescent="0.45">
      <c r="A52" t="s">
        <v>58</v>
      </c>
      <c r="B52" t="s">
        <v>21</v>
      </c>
      <c r="C52">
        <v>42.4</v>
      </c>
      <c r="D52" s="16"/>
      <c r="E52" s="16"/>
      <c r="F52" s="16"/>
      <c r="G52" s="16"/>
      <c r="H52" s="16">
        <f t="shared" si="0"/>
        <v>0</v>
      </c>
    </row>
    <row r="53" spans="1:8" x14ac:dyDescent="0.45">
      <c r="A53" t="s">
        <v>59</v>
      </c>
      <c r="B53" t="s">
        <v>21</v>
      </c>
      <c r="C53">
        <v>25.1</v>
      </c>
      <c r="D53" s="16"/>
      <c r="E53" s="16"/>
      <c r="F53" s="16"/>
      <c r="G53" s="16"/>
      <c r="H53" s="16">
        <f t="shared" si="0"/>
        <v>0</v>
      </c>
    </row>
    <row r="54" spans="1:8" x14ac:dyDescent="0.45">
      <c r="A54" t="s">
        <v>60</v>
      </c>
      <c r="B54" t="s">
        <v>21</v>
      </c>
      <c r="C54">
        <v>30.6</v>
      </c>
      <c r="D54" s="16"/>
      <c r="E54" s="16"/>
      <c r="F54" s="16"/>
      <c r="G54" s="16"/>
      <c r="H54" s="16">
        <f t="shared" si="0"/>
        <v>0</v>
      </c>
    </row>
    <row r="55" spans="1:8" x14ac:dyDescent="0.45">
      <c r="A55" t="s">
        <v>61</v>
      </c>
      <c r="B55" t="s">
        <v>21</v>
      </c>
      <c r="C55">
        <v>23.1</v>
      </c>
      <c r="D55" s="16">
        <v>7.1</v>
      </c>
      <c r="E55" s="16">
        <v>4.6399999999999997</v>
      </c>
      <c r="F55" s="16">
        <v>3.45</v>
      </c>
      <c r="G55" s="16"/>
      <c r="H55" s="16">
        <f t="shared" si="0"/>
        <v>15.19</v>
      </c>
    </row>
    <row r="56" spans="1:8" x14ac:dyDescent="0.45">
      <c r="A56" s="12" t="s">
        <v>62</v>
      </c>
      <c r="B56" t="s">
        <v>21</v>
      </c>
      <c r="C56">
        <v>22.4</v>
      </c>
      <c r="D56" s="16"/>
      <c r="E56" s="16"/>
      <c r="F56" s="16"/>
      <c r="G56" s="16"/>
      <c r="H56" s="16">
        <f t="shared" si="0"/>
        <v>0</v>
      </c>
    </row>
    <row r="57" spans="1:8" x14ac:dyDescent="0.45">
      <c r="A57" t="s">
        <v>63</v>
      </c>
      <c r="B57" t="s">
        <v>21</v>
      </c>
      <c r="C57">
        <v>35.5</v>
      </c>
      <c r="D57" s="16">
        <v>10.17</v>
      </c>
      <c r="E57" s="16">
        <v>7.3</v>
      </c>
      <c r="F57" s="16">
        <v>5.91</v>
      </c>
      <c r="G57" s="16"/>
      <c r="H57" s="16">
        <f t="shared" si="0"/>
        <v>23.380000000000003</v>
      </c>
    </row>
    <row r="58" spans="1:8" x14ac:dyDescent="0.45">
      <c r="A58" t="s">
        <v>64</v>
      </c>
      <c r="B58" t="s">
        <v>21</v>
      </c>
      <c r="C58">
        <v>35.799999999999997</v>
      </c>
      <c r="D58" s="16"/>
      <c r="E58" s="16"/>
      <c r="F58" s="16"/>
      <c r="G58" s="16"/>
      <c r="H58" s="16">
        <f t="shared" si="0"/>
        <v>0</v>
      </c>
    </row>
    <row r="59" spans="1:8" x14ac:dyDescent="0.45">
      <c r="A59" t="s">
        <v>65</v>
      </c>
      <c r="B59" t="s">
        <v>21</v>
      </c>
      <c r="C59">
        <v>38</v>
      </c>
      <c r="D59" s="16">
        <v>9.98</v>
      </c>
      <c r="E59" s="16">
        <v>6.96</v>
      </c>
      <c r="F59" s="16">
        <v>6.25</v>
      </c>
      <c r="G59" s="16"/>
      <c r="H59" s="16">
        <f t="shared" si="0"/>
        <v>23.19</v>
      </c>
    </row>
    <row r="60" spans="1:8" x14ac:dyDescent="0.45">
      <c r="A60" t="s">
        <v>66</v>
      </c>
      <c r="B60" t="s">
        <v>21</v>
      </c>
      <c r="C60">
        <v>23.1</v>
      </c>
      <c r="D60" s="16"/>
      <c r="E60" s="16"/>
      <c r="F60" s="16"/>
      <c r="G60" s="16"/>
      <c r="H60" s="16">
        <f t="shared" si="0"/>
        <v>0</v>
      </c>
    </row>
    <row r="61" spans="1:8" x14ac:dyDescent="0.45">
      <c r="A61" t="s">
        <v>67</v>
      </c>
      <c r="B61" t="s">
        <v>21</v>
      </c>
      <c r="C61">
        <v>31.5</v>
      </c>
      <c r="D61" s="16"/>
      <c r="E61" s="16"/>
      <c r="F61" s="16"/>
      <c r="G61" s="16"/>
      <c r="H61" s="16">
        <f t="shared" si="0"/>
        <v>0</v>
      </c>
    </row>
    <row r="62" spans="1:8" x14ac:dyDescent="0.45">
      <c r="A62" t="s">
        <v>68</v>
      </c>
      <c r="B62" t="s">
        <v>21</v>
      </c>
      <c r="C62">
        <v>30.1</v>
      </c>
      <c r="D62" s="16">
        <v>7.79</v>
      </c>
      <c r="E62" s="16">
        <v>5.64</v>
      </c>
      <c r="F62" s="16">
        <v>4.67</v>
      </c>
      <c r="G62" s="16"/>
      <c r="H62" s="16">
        <f t="shared" si="0"/>
        <v>18.099999999999998</v>
      </c>
    </row>
    <row r="63" spans="1:8" x14ac:dyDescent="0.45">
      <c r="A63" t="s">
        <v>69</v>
      </c>
      <c r="B63" t="s">
        <v>21</v>
      </c>
      <c r="C63">
        <v>30.4</v>
      </c>
      <c r="D63" s="16"/>
      <c r="E63" s="16"/>
      <c r="F63" s="16"/>
      <c r="G63" s="16"/>
      <c r="H63" s="16">
        <f t="shared" si="0"/>
        <v>0</v>
      </c>
    </row>
    <row r="64" spans="1:8" x14ac:dyDescent="0.45">
      <c r="A64" t="s">
        <v>70</v>
      </c>
      <c r="B64" t="s">
        <v>21</v>
      </c>
      <c r="C64">
        <v>27.9</v>
      </c>
      <c r="D64" s="16"/>
      <c r="E64" s="16"/>
      <c r="F64" s="16"/>
      <c r="G64" s="16"/>
      <c r="H64" s="16">
        <f t="shared" si="0"/>
        <v>0</v>
      </c>
    </row>
    <row r="65" spans="1:8" x14ac:dyDescent="0.45">
      <c r="A65" t="s">
        <v>71</v>
      </c>
      <c r="B65" t="s">
        <v>21</v>
      </c>
      <c r="C65">
        <v>34.200000000000003</v>
      </c>
      <c r="D65" s="16">
        <v>8.02</v>
      </c>
      <c r="E65" s="16">
        <v>6.01</v>
      </c>
      <c r="F65" s="16">
        <v>4.37</v>
      </c>
      <c r="G65" s="16"/>
      <c r="H65" s="16">
        <f t="shared" si="0"/>
        <v>18.399999999999999</v>
      </c>
    </row>
    <row r="66" spans="1:8" x14ac:dyDescent="0.45">
      <c r="A66" t="s">
        <v>72</v>
      </c>
      <c r="B66" t="s">
        <v>21</v>
      </c>
      <c r="C66">
        <v>27.3</v>
      </c>
      <c r="D66" s="16"/>
      <c r="E66" s="16"/>
      <c r="F66" s="16"/>
      <c r="G66" s="16"/>
      <c r="H66" s="16">
        <f t="shared" si="0"/>
        <v>0</v>
      </c>
    </row>
    <row r="67" spans="1:8" x14ac:dyDescent="0.45">
      <c r="A67" t="s">
        <v>73</v>
      </c>
      <c r="B67" t="s">
        <v>21</v>
      </c>
      <c r="C67">
        <v>32.5</v>
      </c>
      <c r="D67" s="16"/>
      <c r="E67" s="16"/>
      <c r="F67" s="16"/>
      <c r="G67" s="16"/>
      <c r="H67" s="16">
        <f t="shared" ref="H67:H100" si="1">G67+F67+E67+D67</f>
        <v>0</v>
      </c>
    </row>
    <row r="68" spans="1:8" x14ac:dyDescent="0.45">
      <c r="A68" s="12" t="s">
        <v>74</v>
      </c>
      <c r="B68" t="s">
        <v>21</v>
      </c>
      <c r="C68">
        <v>26.9</v>
      </c>
      <c r="D68" s="16"/>
      <c r="E68" s="16"/>
      <c r="F68" s="16"/>
      <c r="G68" s="16"/>
      <c r="H68" s="16">
        <f t="shared" si="1"/>
        <v>0</v>
      </c>
    </row>
    <row r="69" spans="1:8" x14ac:dyDescent="0.45">
      <c r="A69" t="s">
        <v>75</v>
      </c>
      <c r="B69" t="s">
        <v>21</v>
      </c>
      <c r="C69">
        <v>28.1</v>
      </c>
      <c r="D69" s="16">
        <v>8.2899999999999991</v>
      </c>
      <c r="E69" s="16">
        <v>4.88</v>
      </c>
      <c r="F69" s="16">
        <v>5.28</v>
      </c>
      <c r="G69" s="16"/>
      <c r="H69" s="16">
        <f t="shared" si="1"/>
        <v>18.45</v>
      </c>
    </row>
    <row r="70" spans="1:8" x14ac:dyDescent="0.45">
      <c r="A70" t="s">
        <v>147</v>
      </c>
      <c r="B70" t="s">
        <v>21</v>
      </c>
      <c r="C70">
        <v>37.4</v>
      </c>
      <c r="D70" s="16"/>
      <c r="E70" s="16"/>
      <c r="F70" s="16"/>
      <c r="G70" s="16"/>
      <c r="H70" s="16">
        <f t="shared" si="1"/>
        <v>0</v>
      </c>
    </row>
    <row r="71" spans="1:8" x14ac:dyDescent="0.45">
      <c r="A71" t="s">
        <v>77</v>
      </c>
      <c r="B71" t="s">
        <v>21</v>
      </c>
      <c r="C71">
        <v>40.5</v>
      </c>
      <c r="D71" s="16"/>
      <c r="E71" s="16"/>
      <c r="F71" s="16"/>
      <c r="G71" s="16"/>
      <c r="H71" s="16">
        <f t="shared" si="1"/>
        <v>0</v>
      </c>
    </row>
    <row r="72" spans="1:8" x14ac:dyDescent="0.45">
      <c r="A72" t="s">
        <v>78</v>
      </c>
      <c r="B72" t="s">
        <v>21</v>
      </c>
      <c r="C72">
        <v>33.6</v>
      </c>
      <c r="D72" s="16">
        <v>8.6999999999999993</v>
      </c>
      <c r="E72" s="16">
        <v>5.59</v>
      </c>
      <c r="F72" s="16">
        <v>4.88</v>
      </c>
      <c r="G72" s="16"/>
      <c r="H72" s="16">
        <f t="shared" si="1"/>
        <v>19.169999999999998</v>
      </c>
    </row>
    <row r="73" spans="1:8" x14ac:dyDescent="0.45">
      <c r="A73" t="s">
        <v>79</v>
      </c>
      <c r="B73" t="s">
        <v>21</v>
      </c>
      <c r="C73">
        <v>31.4</v>
      </c>
      <c r="D73" s="16">
        <v>8.24</v>
      </c>
      <c r="E73" s="16">
        <v>7.08</v>
      </c>
      <c r="F73" s="16">
        <v>6.4</v>
      </c>
      <c r="G73" s="16">
        <v>5.7</v>
      </c>
      <c r="H73" s="16">
        <f t="shared" si="1"/>
        <v>27.42</v>
      </c>
    </row>
    <row r="74" spans="1:8" x14ac:dyDescent="0.45">
      <c r="A74" t="s">
        <v>80</v>
      </c>
      <c r="B74" t="s">
        <v>21</v>
      </c>
      <c r="C74">
        <v>35.700000000000003</v>
      </c>
      <c r="D74" s="16">
        <v>7.51</v>
      </c>
      <c r="E74" s="16">
        <v>5.64</v>
      </c>
      <c r="F74" s="16">
        <v>4.74</v>
      </c>
      <c r="G74" s="16"/>
      <c r="H74" s="16">
        <f t="shared" si="1"/>
        <v>17.89</v>
      </c>
    </row>
    <row r="75" spans="1:8" x14ac:dyDescent="0.45">
      <c r="A75" t="s">
        <v>81</v>
      </c>
      <c r="B75" t="s">
        <v>21</v>
      </c>
      <c r="C75">
        <v>30.6</v>
      </c>
      <c r="D75" s="16">
        <v>7.49</v>
      </c>
      <c r="E75" s="16">
        <v>5.0999999999999996</v>
      </c>
      <c r="F75" s="16">
        <v>4.43</v>
      </c>
      <c r="G75" s="16">
        <v>3.84</v>
      </c>
      <c r="H75" s="16">
        <f t="shared" si="1"/>
        <v>20.86</v>
      </c>
    </row>
    <row r="76" spans="1:8" x14ac:dyDescent="0.45">
      <c r="A76" t="s">
        <v>82</v>
      </c>
      <c r="B76" t="s">
        <v>21</v>
      </c>
      <c r="C76">
        <v>21.4</v>
      </c>
      <c r="D76" s="16"/>
      <c r="E76" s="16"/>
      <c r="F76" s="16"/>
      <c r="G76" s="16"/>
      <c r="H76" s="16">
        <f t="shared" si="1"/>
        <v>0</v>
      </c>
    </row>
    <row r="77" spans="1:8" x14ac:dyDescent="0.45">
      <c r="A77" t="s">
        <v>83</v>
      </c>
      <c r="B77" t="s">
        <v>21</v>
      </c>
      <c r="C77">
        <v>49.2</v>
      </c>
      <c r="D77" s="16"/>
      <c r="E77" s="16"/>
      <c r="F77" s="16"/>
      <c r="G77" s="16"/>
      <c r="H77" s="16">
        <f t="shared" si="1"/>
        <v>0</v>
      </c>
    </row>
    <row r="78" spans="1:8" x14ac:dyDescent="0.45">
      <c r="A78" t="s">
        <v>84</v>
      </c>
      <c r="B78" t="s">
        <v>21</v>
      </c>
      <c r="C78">
        <v>51</v>
      </c>
      <c r="D78" s="16">
        <v>9.52</v>
      </c>
      <c r="E78" s="16">
        <v>7.56</v>
      </c>
      <c r="F78" s="16">
        <v>7.05</v>
      </c>
      <c r="G78" s="16">
        <v>6.95</v>
      </c>
      <c r="H78" s="16">
        <f t="shared" si="1"/>
        <v>31.08</v>
      </c>
    </row>
    <row r="79" spans="1:8" x14ac:dyDescent="0.45">
      <c r="A79" t="s">
        <v>85</v>
      </c>
      <c r="B79" t="s">
        <v>21</v>
      </c>
      <c r="C79">
        <v>31.7</v>
      </c>
      <c r="D79" s="16"/>
      <c r="E79" s="16"/>
      <c r="F79" s="16"/>
      <c r="G79" s="16"/>
      <c r="H79" s="16">
        <f t="shared" si="1"/>
        <v>0</v>
      </c>
    </row>
    <row r="80" spans="1:8" s="15" customFormat="1" x14ac:dyDescent="0.45">
      <c r="A80" s="15" t="s">
        <v>145</v>
      </c>
      <c r="B80" s="15" t="s">
        <v>21</v>
      </c>
      <c r="C80" s="15">
        <v>44.9</v>
      </c>
      <c r="D80" s="16">
        <v>11.24</v>
      </c>
      <c r="E80" s="16">
        <v>7.17</v>
      </c>
      <c r="F80" s="16">
        <v>8.06</v>
      </c>
      <c r="G80" s="16">
        <v>8.1199999999999992</v>
      </c>
      <c r="H80" s="16">
        <f t="shared" si="1"/>
        <v>34.590000000000003</v>
      </c>
    </row>
    <row r="81" spans="1:8" x14ac:dyDescent="0.45">
      <c r="A81" t="s">
        <v>86</v>
      </c>
      <c r="B81" t="s">
        <v>21</v>
      </c>
      <c r="C81">
        <v>38.4</v>
      </c>
      <c r="D81" s="16"/>
      <c r="E81" s="16"/>
      <c r="F81" s="16"/>
      <c r="G81" s="16"/>
      <c r="H81" s="16">
        <f t="shared" si="1"/>
        <v>0</v>
      </c>
    </row>
    <row r="82" spans="1:8" s="18" customFormat="1" x14ac:dyDescent="0.45">
      <c r="A82" s="18" t="s">
        <v>150</v>
      </c>
      <c r="B82" s="18" t="s">
        <v>21</v>
      </c>
      <c r="D82" s="16"/>
      <c r="E82" s="16"/>
      <c r="F82" s="16"/>
      <c r="G82" s="16"/>
      <c r="H82" s="16"/>
    </row>
    <row r="83" spans="1:8" x14ac:dyDescent="0.45">
      <c r="A83" t="s">
        <v>151</v>
      </c>
      <c r="B83" t="s">
        <v>21</v>
      </c>
      <c r="C83"/>
      <c r="D83" s="16"/>
      <c r="E83" s="16"/>
      <c r="F83" s="16"/>
      <c r="G83" s="16"/>
      <c r="H83" s="16">
        <f t="shared" si="1"/>
        <v>0</v>
      </c>
    </row>
    <row r="84" spans="1:8" x14ac:dyDescent="0.45">
      <c r="A84" t="s">
        <v>143</v>
      </c>
      <c r="B84" t="s">
        <v>87</v>
      </c>
      <c r="C84">
        <v>19.600000000000001</v>
      </c>
      <c r="D84" s="16">
        <v>4.75</v>
      </c>
      <c r="E84" s="16">
        <v>3.28</v>
      </c>
      <c r="F84" s="16">
        <v>3.32</v>
      </c>
      <c r="G84" s="16"/>
      <c r="H84" s="16">
        <f t="shared" si="1"/>
        <v>11.35</v>
      </c>
    </row>
    <row r="85" spans="1:8" x14ac:dyDescent="0.45">
      <c r="A85" t="s">
        <v>88</v>
      </c>
      <c r="B85" t="s">
        <v>87</v>
      </c>
      <c r="C85">
        <v>25.6</v>
      </c>
      <c r="D85" s="16"/>
      <c r="E85" s="16"/>
      <c r="F85" s="16"/>
      <c r="G85" s="16"/>
      <c r="H85" s="16">
        <f t="shared" si="1"/>
        <v>0</v>
      </c>
    </row>
    <row r="86" spans="1:8" x14ac:dyDescent="0.45">
      <c r="A86" t="s">
        <v>89</v>
      </c>
      <c r="B86" t="s">
        <v>87</v>
      </c>
      <c r="C86">
        <v>22.1</v>
      </c>
      <c r="D86" s="16"/>
      <c r="E86" s="16"/>
      <c r="F86" s="16"/>
      <c r="G86" s="16"/>
      <c r="H86" s="16">
        <f t="shared" si="1"/>
        <v>0</v>
      </c>
    </row>
    <row r="87" spans="1:8" x14ac:dyDescent="0.45">
      <c r="A87" t="s">
        <v>149</v>
      </c>
      <c r="B87" t="s">
        <v>87</v>
      </c>
      <c r="C87">
        <v>30.8</v>
      </c>
      <c r="D87" s="16"/>
      <c r="E87" s="16"/>
      <c r="F87" s="16"/>
      <c r="G87" s="16"/>
      <c r="H87" s="16">
        <f t="shared" si="1"/>
        <v>0</v>
      </c>
    </row>
    <row r="88" spans="1:8" x14ac:dyDescent="0.45">
      <c r="A88" t="s">
        <v>156</v>
      </c>
      <c r="B88" t="s">
        <v>21</v>
      </c>
      <c r="C88">
        <v>39.9</v>
      </c>
      <c r="D88" s="16"/>
      <c r="E88" s="16"/>
      <c r="F88" s="16"/>
      <c r="G88" s="16"/>
      <c r="H88" s="16">
        <f t="shared" si="1"/>
        <v>0</v>
      </c>
    </row>
    <row r="89" spans="1:8" x14ac:dyDescent="0.45">
      <c r="A89" t="s">
        <v>157</v>
      </c>
      <c r="B89" t="s">
        <v>21</v>
      </c>
      <c r="C89">
        <v>52.5</v>
      </c>
      <c r="D89" s="16"/>
      <c r="E89" s="16"/>
      <c r="F89" s="16"/>
      <c r="G89" s="16"/>
      <c r="H89" s="16">
        <f t="shared" si="1"/>
        <v>0</v>
      </c>
    </row>
    <row r="90" spans="1:8" x14ac:dyDescent="0.45">
      <c r="A90" t="s">
        <v>90</v>
      </c>
      <c r="B90" t="s">
        <v>87</v>
      </c>
      <c r="C90">
        <v>26.5</v>
      </c>
      <c r="D90" s="16">
        <v>6.06</v>
      </c>
      <c r="E90" s="16">
        <v>5.04</v>
      </c>
      <c r="F90" s="16">
        <v>4.5</v>
      </c>
      <c r="G90" s="16">
        <v>4.5599999999999996</v>
      </c>
      <c r="H90" s="16">
        <f t="shared" si="1"/>
        <v>20.159999999999997</v>
      </c>
    </row>
    <row r="91" spans="1:8" x14ac:dyDescent="0.45">
      <c r="A91" t="s">
        <v>155</v>
      </c>
      <c r="B91" t="s">
        <v>21</v>
      </c>
      <c r="C91">
        <v>64.099999999999994</v>
      </c>
      <c r="D91" s="16"/>
      <c r="E91" s="16"/>
      <c r="F91" s="16"/>
      <c r="G91" s="16"/>
      <c r="H91" s="16">
        <f t="shared" si="1"/>
        <v>0</v>
      </c>
    </row>
    <row r="92" spans="1:8" x14ac:dyDescent="0.45">
      <c r="A92" t="s">
        <v>91</v>
      </c>
      <c r="B92" t="s">
        <v>87</v>
      </c>
      <c r="C92">
        <v>25.5</v>
      </c>
      <c r="D92" s="16">
        <v>5.38</v>
      </c>
      <c r="E92" s="16">
        <v>4.47</v>
      </c>
      <c r="F92" s="16">
        <v>4.05</v>
      </c>
      <c r="G92" s="16"/>
      <c r="H92" s="16">
        <f t="shared" si="1"/>
        <v>13.899999999999999</v>
      </c>
    </row>
    <row r="93" spans="1:8" x14ac:dyDescent="0.45">
      <c r="A93" t="s">
        <v>152</v>
      </c>
      <c r="B93" t="s">
        <v>21</v>
      </c>
      <c r="C93">
        <v>38</v>
      </c>
      <c r="D93" s="16"/>
      <c r="E93" s="16"/>
      <c r="F93" s="16"/>
      <c r="G93" s="16"/>
      <c r="H93" s="16">
        <f t="shared" si="1"/>
        <v>0</v>
      </c>
    </row>
    <row r="94" spans="1:8" x14ac:dyDescent="0.45">
      <c r="A94" t="s">
        <v>92</v>
      </c>
      <c r="B94" t="s">
        <v>87</v>
      </c>
      <c r="C94">
        <v>30.5</v>
      </c>
      <c r="D94" s="16"/>
      <c r="E94" s="16"/>
      <c r="F94" s="16"/>
      <c r="G94" s="16"/>
      <c r="H94" s="16">
        <f t="shared" si="1"/>
        <v>0</v>
      </c>
    </row>
    <row r="95" spans="1:8" x14ac:dyDescent="0.45">
      <c r="A95" t="s">
        <v>93</v>
      </c>
      <c r="B95" t="s">
        <v>87</v>
      </c>
      <c r="C95">
        <v>25.7</v>
      </c>
      <c r="D95" s="16"/>
      <c r="E95" s="16"/>
      <c r="F95" s="16"/>
      <c r="G95" s="16"/>
      <c r="H95" s="16">
        <f t="shared" si="1"/>
        <v>0</v>
      </c>
    </row>
    <row r="96" spans="1:8" x14ac:dyDescent="0.45">
      <c r="A96" t="s">
        <v>94</v>
      </c>
      <c r="B96" t="s">
        <v>87</v>
      </c>
      <c r="C96">
        <v>19</v>
      </c>
      <c r="D96" s="16"/>
      <c r="E96" s="16"/>
      <c r="F96" s="16"/>
      <c r="G96" s="16"/>
      <c r="H96" s="16">
        <f t="shared" si="1"/>
        <v>0</v>
      </c>
    </row>
    <row r="97" spans="1:8" x14ac:dyDescent="0.45">
      <c r="A97" t="s">
        <v>95</v>
      </c>
      <c r="B97" t="s">
        <v>87</v>
      </c>
      <c r="C97">
        <v>23.5</v>
      </c>
      <c r="D97" s="16"/>
      <c r="E97" s="16"/>
      <c r="F97" s="16"/>
      <c r="G97" s="16"/>
      <c r="H97" s="16">
        <f t="shared" si="1"/>
        <v>0</v>
      </c>
    </row>
    <row r="98" spans="1:8" x14ac:dyDescent="0.45">
      <c r="A98" t="s">
        <v>96</v>
      </c>
      <c r="B98" t="s">
        <v>87</v>
      </c>
      <c r="C98">
        <v>33.200000000000003</v>
      </c>
      <c r="D98" s="16">
        <v>7.16</v>
      </c>
      <c r="E98" s="16">
        <v>5.68</v>
      </c>
      <c r="F98" s="16">
        <v>4.5599999999999996</v>
      </c>
      <c r="G98" s="16"/>
      <c r="H98" s="16">
        <f t="shared" si="1"/>
        <v>17.399999999999999</v>
      </c>
    </row>
    <row r="99" spans="1:8" x14ac:dyDescent="0.45">
      <c r="A99" t="s">
        <v>153</v>
      </c>
      <c r="B99" t="s">
        <v>21</v>
      </c>
      <c r="C99">
        <v>51.2</v>
      </c>
      <c r="D99" s="16"/>
      <c r="E99" s="16"/>
      <c r="F99" s="16"/>
      <c r="G99" s="16"/>
      <c r="H99" s="16"/>
    </row>
    <row r="100" spans="1:8" x14ac:dyDescent="0.45">
      <c r="A100" t="s">
        <v>154</v>
      </c>
      <c r="B100" t="s">
        <v>21</v>
      </c>
      <c r="C100">
        <v>52.4</v>
      </c>
      <c r="D100" s="16"/>
      <c r="E100" s="16"/>
      <c r="F100" s="16"/>
      <c r="G100" s="16"/>
      <c r="H100" s="16">
        <f t="shared" si="1"/>
        <v>0</v>
      </c>
    </row>
    <row r="101" spans="1:8" x14ac:dyDescent="0.45">
      <c r="A101" s="2" t="s">
        <v>158</v>
      </c>
      <c r="B101" s="2" t="s">
        <v>21</v>
      </c>
      <c r="C101" s="3">
        <v>51.5</v>
      </c>
      <c r="D101" s="3"/>
      <c r="E101" s="3"/>
      <c r="F101" s="3"/>
      <c r="G101" s="3"/>
      <c r="H101" s="2"/>
    </row>
    <row r="102" spans="1:8" x14ac:dyDescent="0.45">
      <c r="A102" s="2"/>
      <c r="B102" s="2"/>
      <c r="C102" s="3"/>
      <c r="D102" s="3"/>
      <c r="E102" s="3"/>
      <c r="F102" s="3"/>
      <c r="G102" s="3"/>
      <c r="H102" s="2"/>
    </row>
    <row r="103" spans="1:8" x14ac:dyDescent="0.45">
      <c r="A103" s="2"/>
      <c r="B103" s="2"/>
      <c r="C103" s="3"/>
      <c r="D103" s="3"/>
      <c r="E103" s="3"/>
      <c r="F103" s="3"/>
      <c r="G103" s="3"/>
      <c r="H103" s="2"/>
    </row>
    <row r="104" spans="1:8" x14ac:dyDescent="0.45">
      <c r="A104" s="2"/>
      <c r="B104" s="2"/>
      <c r="C104" s="3"/>
      <c r="D104" s="3"/>
      <c r="E104" s="3"/>
      <c r="F104" s="3"/>
      <c r="G104" s="3"/>
      <c r="H104" s="2"/>
    </row>
    <row r="105" spans="1:8" x14ac:dyDescent="0.45">
      <c r="A105" s="2"/>
      <c r="B105" s="2"/>
      <c r="C105" s="3"/>
      <c r="D105" s="3"/>
      <c r="E105" s="3"/>
      <c r="F105" s="3"/>
      <c r="G105" s="3"/>
      <c r="H105" s="2"/>
    </row>
    <row r="106" spans="1:8" x14ac:dyDescent="0.45">
      <c r="A106" s="2"/>
      <c r="B106" s="2"/>
      <c r="C106" s="3"/>
      <c r="D106" s="3"/>
      <c r="E106" s="3"/>
      <c r="F106" s="3"/>
      <c r="G106" s="3"/>
      <c r="H106" s="2"/>
    </row>
    <row r="107" spans="1:8" x14ac:dyDescent="0.45">
      <c r="A107" s="2"/>
      <c r="B107" s="2"/>
      <c r="C107" s="3"/>
      <c r="D107" s="3"/>
      <c r="E107" s="3"/>
      <c r="F107" s="3"/>
      <c r="G107" s="3"/>
      <c r="H107" s="2"/>
    </row>
    <row r="108" spans="1:8" x14ac:dyDescent="0.45">
      <c r="A108" s="2"/>
      <c r="B108" s="2"/>
      <c r="C108" s="3"/>
      <c r="D108" s="3"/>
      <c r="E108" s="3"/>
      <c r="F108" s="3"/>
      <c r="G108" s="3"/>
      <c r="H108" s="2"/>
    </row>
    <row r="109" spans="1:8" x14ac:dyDescent="0.45">
      <c r="A109" s="2"/>
      <c r="B109" s="2"/>
      <c r="C109" s="3"/>
      <c r="D109" s="3"/>
      <c r="E109" s="3"/>
      <c r="F109" s="3"/>
      <c r="G109" s="3"/>
      <c r="H109" s="2"/>
    </row>
    <row r="110" spans="1:8" x14ac:dyDescent="0.45">
      <c r="A110" s="2"/>
      <c r="B110" s="2"/>
      <c r="C110" s="3"/>
      <c r="D110" s="3"/>
      <c r="E110" s="3"/>
      <c r="F110" s="3"/>
      <c r="G110" s="3"/>
      <c r="H110" s="2"/>
    </row>
    <row r="111" spans="1:8" x14ac:dyDescent="0.45">
      <c r="A111" s="2"/>
      <c r="B111" s="2"/>
      <c r="C111" s="3"/>
      <c r="D111" s="3"/>
      <c r="E111" s="3"/>
      <c r="F111" s="3"/>
      <c r="G111" s="3"/>
      <c r="H111" s="2"/>
    </row>
    <row r="112" spans="1:8" x14ac:dyDescent="0.45">
      <c r="A112" s="2"/>
      <c r="B112" s="2"/>
      <c r="C112" s="3"/>
      <c r="D112" s="3"/>
      <c r="E112" s="3"/>
      <c r="F112" s="3"/>
      <c r="G112" s="3"/>
      <c r="H112" s="2"/>
    </row>
    <row r="113" spans="1:8" x14ac:dyDescent="0.45">
      <c r="A113" s="2"/>
      <c r="B113" s="2"/>
      <c r="C113" s="3"/>
      <c r="D113" s="3"/>
      <c r="E113" s="3"/>
      <c r="F113" s="3"/>
      <c r="G113" s="3"/>
      <c r="H113" s="2"/>
    </row>
    <row r="114" spans="1:8" x14ac:dyDescent="0.45">
      <c r="A114" s="2"/>
      <c r="B114" s="2"/>
      <c r="C114" s="3"/>
      <c r="D114" s="3"/>
      <c r="E114" s="3"/>
      <c r="F114" s="3"/>
      <c r="G114" s="3"/>
      <c r="H114" s="2"/>
    </row>
    <row r="115" spans="1:8" x14ac:dyDescent="0.45">
      <c r="A115" s="2"/>
      <c r="B115" s="2"/>
      <c r="C115" s="3"/>
      <c r="D115" s="3"/>
      <c r="E115" s="3"/>
      <c r="F115" s="3"/>
      <c r="G115" s="3"/>
      <c r="H115" s="2"/>
    </row>
    <row r="116" spans="1:8" x14ac:dyDescent="0.45">
      <c r="A116" s="2"/>
      <c r="B116" s="2"/>
      <c r="C116" s="3"/>
      <c r="D116" s="3"/>
      <c r="E116" s="3"/>
      <c r="F116" s="3"/>
      <c r="G116" s="3"/>
      <c r="H116" s="2"/>
    </row>
    <row r="117" spans="1:8" x14ac:dyDescent="0.45">
      <c r="A117" s="2"/>
      <c r="B117" s="2"/>
      <c r="C117" s="3"/>
      <c r="D117" s="3"/>
      <c r="E117" s="3"/>
      <c r="F117" s="3"/>
      <c r="G117" s="3"/>
      <c r="H117" s="2"/>
    </row>
    <row r="118" spans="1:8" x14ac:dyDescent="0.45">
      <c r="A118" s="2"/>
      <c r="B118" s="2"/>
      <c r="C118" s="3"/>
      <c r="D118" s="3"/>
      <c r="E118" s="3"/>
      <c r="F118" s="3"/>
      <c r="G118" s="3"/>
      <c r="H118" s="2"/>
    </row>
    <row r="119" spans="1:8" x14ac:dyDescent="0.45">
      <c r="A119" s="2"/>
      <c r="B119" s="2"/>
      <c r="C119" s="3"/>
      <c r="D119" s="3"/>
      <c r="E119" s="3"/>
      <c r="F119" s="3"/>
      <c r="G119" s="3"/>
      <c r="H119" s="2"/>
    </row>
    <row r="120" spans="1:8" x14ac:dyDescent="0.45">
      <c r="A120" s="2"/>
      <c r="B120" s="2"/>
      <c r="C120" s="3"/>
      <c r="D120" s="3"/>
      <c r="E120" s="3"/>
      <c r="F120" s="3"/>
      <c r="G120" s="3"/>
      <c r="H120" s="2"/>
    </row>
    <row r="121" spans="1:8" x14ac:dyDescent="0.45">
      <c r="A121" s="2"/>
      <c r="B121" s="2"/>
      <c r="C121" s="3"/>
      <c r="D121" s="3"/>
      <c r="E121" s="3"/>
      <c r="F121" s="3"/>
      <c r="G121" s="3"/>
      <c r="H121" s="2"/>
    </row>
    <row r="122" spans="1:8" x14ac:dyDescent="0.45">
      <c r="A122" s="2"/>
      <c r="B122" s="2"/>
      <c r="C122" s="3"/>
      <c r="D122" s="3"/>
      <c r="E122" s="3"/>
      <c r="F122" s="3"/>
      <c r="G122" s="3"/>
      <c r="H122" s="2"/>
    </row>
    <row r="123" spans="1:8" x14ac:dyDescent="0.45">
      <c r="A123" s="2"/>
      <c r="B123" s="2"/>
      <c r="C123" s="3"/>
      <c r="D123" s="3"/>
      <c r="E123" s="3"/>
      <c r="F123" s="3"/>
      <c r="G123" s="3"/>
      <c r="H123" s="2"/>
    </row>
    <row r="124" spans="1:8" x14ac:dyDescent="0.45">
      <c r="A124" s="2"/>
      <c r="B124" s="2"/>
      <c r="C124" s="3"/>
      <c r="D124" s="3"/>
      <c r="E124" s="3"/>
      <c r="F124" s="3"/>
      <c r="G124" s="3"/>
      <c r="H124" s="2"/>
    </row>
    <row r="125" spans="1:8" x14ac:dyDescent="0.45">
      <c r="A125" s="2"/>
      <c r="B125" s="2"/>
      <c r="C125" s="3"/>
      <c r="D125" s="3"/>
      <c r="E125" s="3"/>
      <c r="F125" s="3"/>
      <c r="G125" s="3"/>
      <c r="H125" s="2"/>
    </row>
    <row r="126" spans="1:8" x14ac:dyDescent="0.45">
      <c r="A126" s="2"/>
      <c r="B126" s="2"/>
      <c r="C126" s="3"/>
      <c r="D126" s="3"/>
      <c r="E126" s="3"/>
      <c r="F126" s="3"/>
      <c r="G126" s="3"/>
      <c r="H126" s="2"/>
    </row>
    <row r="127" spans="1:8" x14ac:dyDescent="0.45">
      <c r="A127" s="2"/>
      <c r="B127" s="2"/>
      <c r="C127" s="3"/>
      <c r="D127" s="3"/>
      <c r="E127" s="3"/>
      <c r="F127" s="3"/>
      <c r="G127" s="3"/>
      <c r="H127" s="2"/>
    </row>
    <row r="128" spans="1:8" x14ac:dyDescent="0.45">
      <c r="A128" s="2"/>
      <c r="B128" s="2"/>
      <c r="C128" s="3"/>
      <c r="D128" s="3"/>
      <c r="E128" s="3"/>
      <c r="F128" s="3"/>
      <c r="G128" s="3"/>
      <c r="H128" s="2"/>
    </row>
    <row r="129" spans="1:8" x14ac:dyDescent="0.45">
      <c r="A129" s="2"/>
      <c r="B129" s="2"/>
      <c r="C129" s="3"/>
      <c r="D129" s="3"/>
      <c r="E129" s="3"/>
      <c r="F129" s="3"/>
      <c r="G129" s="3"/>
      <c r="H129" s="2"/>
    </row>
    <row r="130" spans="1:8" x14ac:dyDescent="0.45">
      <c r="A130" s="2"/>
      <c r="B130" s="2"/>
      <c r="C130" s="3"/>
      <c r="D130" s="3"/>
      <c r="E130" s="3"/>
      <c r="F130" s="3"/>
      <c r="G130" s="3"/>
      <c r="H130" s="2"/>
    </row>
    <row r="131" spans="1:8" x14ac:dyDescent="0.45">
      <c r="A131" s="2"/>
      <c r="B131" s="2"/>
      <c r="C131" s="3"/>
      <c r="D131" s="3"/>
      <c r="E131" s="3"/>
      <c r="F131" s="3"/>
      <c r="G131" s="3"/>
      <c r="H131" s="2"/>
    </row>
    <row r="132" spans="1:8" x14ac:dyDescent="0.45">
      <c r="A132" s="2"/>
      <c r="B132" s="2"/>
      <c r="C132" s="3"/>
      <c r="D132" s="3"/>
      <c r="E132" s="3"/>
      <c r="F132" s="3"/>
      <c r="G132" s="3"/>
      <c r="H132" s="2"/>
    </row>
    <row r="133" spans="1:8" x14ac:dyDescent="0.45">
      <c r="A133" s="2"/>
      <c r="B133" s="2"/>
      <c r="C133" s="3"/>
      <c r="D133" s="3"/>
      <c r="E133" s="3"/>
      <c r="F133" s="3"/>
      <c r="G133" s="3"/>
      <c r="H133" s="2"/>
    </row>
    <row r="134" spans="1:8" x14ac:dyDescent="0.45">
      <c r="A134" s="2"/>
      <c r="B134" s="2"/>
      <c r="C134" s="3"/>
      <c r="D134" s="3"/>
      <c r="E134" s="3"/>
      <c r="F134" s="3"/>
      <c r="G134" s="3"/>
      <c r="H134" s="2"/>
    </row>
    <row r="135" spans="1:8" x14ac:dyDescent="0.45">
      <c r="A135" s="2"/>
      <c r="B135" s="2"/>
      <c r="C135" s="3"/>
      <c r="D135" s="3"/>
      <c r="E135" s="3"/>
      <c r="F135" s="3"/>
      <c r="G135" s="3"/>
      <c r="H135" s="2"/>
    </row>
    <row r="136" spans="1:8" x14ac:dyDescent="0.45">
      <c r="A136" s="2"/>
      <c r="B136" s="2"/>
      <c r="C136" s="3"/>
      <c r="D136" s="3"/>
      <c r="E136" s="3"/>
      <c r="F136" s="3"/>
      <c r="G136" s="3"/>
      <c r="H136" s="2"/>
    </row>
    <row r="137" spans="1:8" x14ac:dyDescent="0.45">
      <c r="A137" s="2"/>
      <c r="B137" s="2"/>
      <c r="C137" s="3"/>
      <c r="D137" s="3"/>
      <c r="E137" s="3"/>
      <c r="F137" s="3"/>
      <c r="G137" s="3"/>
      <c r="H137" s="2"/>
    </row>
    <row r="138" spans="1:8" x14ac:dyDescent="0.45">
      <c r="A138" s="2"/>
      <c r="B138" s="2"/>
      <c r="C138" s="3"/>
      <c r="D138" s="3"/>
      <c r="E138" s="3"/>
      <c r="F138" s="3"/>
      <c r="G138" s="3"/>
      <c r="H138" s="2"/>
    </row>
    <row r="139" spans="1:8" x14ac:dyDescent="0.45">
      <c r="A139" s="2"/>
      <c r="B139" s="2"/>
      <c r="C139" s="3"/>
      <c r="D139" s="3"/>
      <c r="E139" s="3"/>
      <c r="F139" s="3"/>
      <c r="G139" s="3"/>
      <c r="H139" s="2"/>
    </row>
    <row r="140" spans="1:8" x14ac:dyDescent="0.45">
      <c r="A140" s="2"/>
      <c r="B140" s="2"/>
      <c r="C140" s="3"/>
      <c r="D140" s="3"/>
      <c r="E140" s="3"/>
      <c r="F140" s="3"/>
      <c r="G140" s="3"/>
      <c r="H140" s="2"/>
    </row>
    <row r="141" spans="1:8" x14ac:dyDescent="0.45">
      <c r="A141" s="2"/>
      <c r="B141" s="2"/>
      <c r="C141" s="3"/>
      <c r="D141" s="3"/>
      <c r="E141" s="3"/>
      <c r="F141" s="3"/>
      <c r="G141" s="3"/>
      <c r="H141" s="2"/>
    </row>
    <row r="142" spans="1:8" x14ac:dyDescent="0.45">
      <c r="A142" s="2"/>
      <c r="B142" s="2"/>
      <c r="C142" s="3"/>
      <c r="D142" s="3"/>
      <c r="E142" s="3"/>
      <c r="F142" s="3"/>
      <c r="G142" s="3"/>
      <c r="H142" s="2"/>
    </row>
    <row r="143" spans="1:8" x14ac:dyDescent="0.45">
      <c r="A143" s="2"/>
      <c r="B143" s="2"/>
      <c r="C143" s="3"/>
      <c r="D143" s="3"/>
      <c r="E143" s="3"/>
      <c r="F143" s="3"/>
      <c r="G143" s="3"/>
      <c r="H143" s="2"/>
    </row>
    <row r="144" spans="1:8" x14ac:dyDescent="0.45">
      <c r="A144" s="2"/>
      <c r="B144" s="2"/>
      <c r="C144" s="3"/>
      <c r="D144" s="3"/>
      <c r="E144" s="3"/>
      <c r="F144" s="3"/>
      <c r="G144" s="3"/>
      <c r="H144" s="2"/>
    </row>
    <row r="145" spans="1:8" x14ac:dyDescent="0.45">
      <c r="A145" s="2"/>
      <c r="B145" s="2"/>
      <c r="C145" s="3"/>
      <c r="D145" s="3"/>
      <c r="E145" s="3"/>
      <c r="F145" s="3"/>
      <c r="G145" s="3"/>
      <c r="H145" s="2"/>
    </row>
    <row r="146" spans="1:8" x14ac:dyDescent="0.45">
      <c r="A146" s="2"/>
      <c r="B146" s="2"/>
      <c r="C146" s="3"/>
      <c r="D146" s="3"/>
      <c r="E146" s="3"/>
      <c r="F146" s="3"/>
      <c r="G146" s="3"/>
      <c r="H146" s="2"/>
    </row>
    <row r="147" spans="1:8" x14ac:dyDescent="0.45">
      <c r="A147" s="2"/>
      <c r="B147" s="2"/>
      <c r="C147" s="3"/>
      <c r="D147" s="3"/>
      <c r="E147" s="3"/>
      <c r="F147" s="3"/>
      <c r="G147" s="3"/>
      <c r="H147" s="2"/>
    </row>
    <row r="148" spans="1:8" x14ac:dyDescent="0.45">
      <c r="A148" s="2"/>
      <c r="B148" s="2"/>
      <c r="C148" s="3"/>
      <c r="D148" s="3"/>
      <c r="E148" s="3"/>
      <c r="F148" s="3"/>
      <c r="G148" s="3"/>
      <c r="H148" s="2"/>
    </row>
    <row r="149" spans="1:8" x14ac:dyDescent="0.45">
      <c r="A149" s="2"/>
      <c r="B149" s="2"/>
      <c r="C149" s="3"/>
      <c r="D149" s="3"/>
      <c r="E149" s="3"/>
      <c r="F149" s="3"/>
      <c r="G149" s="3"/>
      <c r="H149" s="2"/>
    </row>
    <row r="150" spans="1:8" x14ac:dyDescent="0.45">
      <c r="A150" s="2"/>
      <c r="B150" s="2"/>
      <c r="C150" s="3"/>
      <c r="D150" s="3"/>
      <c r="E150" s="3"/>
      <c r="F150" s="3"/>
      <c r="G150" s="3"/>
      <c r="H150" s="2"/>
    </row>
    <row r="151" spans="1:8" x14ac:dyDescent="0.45">
      <c r="A151" s="2"/>
      <c r="B151" s="2"/>
      <c r="C151" s="3"/>
      <c r="D151" s="3"/>
      <c r="E151" s="3"/>
      <c r="F151" s="3"/>
      <c r="G151" s="3"/>
      <c r="H151" s="2"/>
    </row>
    <row r="152" spans="1:8" x14ac:dyDescent="0.45">
      <c r="A152" s="2"/>
      <c r="B152" s="2"/>
      <c r="C152" s="3"/>
      <c r="D152" s="3"/>
      <c r="E152" s="3"/>
      <c r="F152" s="3"/>
      <c r="G152" s="3"/>
      <c r="H152" s="2"/>
    </row>
    <row r="153" spans="1:8" x14ac:dyDescent="0.45">
      <c r="A153" s="2"/>
      <c r="B153" s="2"/>
      <c r="C153" s="3"/>
      <c r="D153" s="3"/>
      <c r="E153" s="3"/>
      <c r="F153" s="3"/>
      <c r="G153" s="3"/>
      <c r="H153" s="2"/>
    </row>
    <row r="154" spans="1:8" x14ac:dyDescent="0.45">
      <c r="A154" s="2"/>
      <c r="B154" s="2"/>
      <c r="C154" s="3"/>
      <c r="D154" s="3"/>
      <c r="E154" s="3"/>
      <c r="F154" s="3"/>
      <c r="G154" s="3"/>
      <c r="H154" s="2"/>
    </row>
    <row r="155" spans="1:8" x14ac:dyDescent="0.45">
      <c r="A155" s="2"/>
      <c r="B155" s="2"/>
      <c r="C155" s="3"/>
      <c r="D155" s="3"/>
      <c r="E155" s="3"/>
      <c r="F155" s="3"/>
      <c r="G155" s="3"/>
      <c r="H155" s="2"/>
    </row>
    <row r="156" spans="1:8" x14ac:dyDescent="0.45">
      <c r="A156" s="2"/>
      <c r="B156" s="2"/>
      <c r="C156" s="3"/>
      <c r="D156" s="3"/>
      <c r="E156" s="3"/>
      <c r="F156" s="3"/>
      <c r="G156" s="3"/>
      <c r="H156" s="2"/>
    </row>
    <row r="157" spans="1:8" x14ac:dyDescent="0.45">
      <c r="A157" s="2"/>
      <c r="B157" s="2"/>
      <c r="C157" s="3"/>
      <c r="D157" s="3"/>
      <c r="E157" s="3"/>
      <c r="F157" s="3"/>
      <c r="G157" s="3"/>
      <c r="H157" s="2"/>
    </row>
    <row r="158" spans="1:8" x14ac:dyDescent="0.45">
      <c r="A158" s="2"/>
      <c r="B158" s="2"/>
      <c r="C158" s="3"/>
      <c r="D158" s="3"/>
      <c r="E158" s="3"/>
      <c r="F158" s="3"/>
      <c r="G158" s="3"/>
      <c r="H158" s="2"/>
    </row>
    <row r="159" spans="1:8" x14ac:dyDescent="0.45">
      <c r="A159" s="2"/>
      <c r="B159" s="2"/>
      <c r="C159" s="3"/>
      <c r="D159" s="3"/>
      <c r="E159" s="3"/>
      <c r="F159" s="3"/>
      <c r="G159" s="3"/>
      <c r="H159" s="2"/>
    </row>
    <row r="160" spans="1:8" x14ac:dyDescent="0.45">
      <c r="A160" s="2"/>
      <c r="B160" s="2"/>
      <c r="C160" s="3"/>
      <c r="D160" s="3"/>
      <c r="E160" s="3"/>
      <c r="F160" s="3"/>
      <c r="G160" s="3"/>
      <c r="H160" s="2"/>
    </row>
    <row r="161" spans="1:8" x14ac:dyDescent="0.45">
      <c r="A161" s="2"/>
      <c r="B161" s="2"/>
      <c r="C161" s="3"/>
      <c r="D161" s="3"/>
      <c r="E161" s="3"/>
      <c r="F161" s="3"/>
      <c r="G161" s="3"/>
      <c r="H161" s="2"/>
    </row>
    <row r="162" spans="1:8" x14ac:dyDescent="0.45">
      <c r="A162" s="2"/>
      <c r="B162" s="2"/>
      <c r="C162" s="3"/>
      <c r="D162" s="3"/>
      <c r="E162" s="3"/>
      <c r="F162" s="3"/>
      <c r="G162" s="3"/>
      <c r="H162" s="2"/>
    </row>
    <row r="163" spans="1:8" x14ac:dyDescent="0.45">
      <c r="A163" s="2"/>
      <c r="B163" s="2"/>
      <c r="C163" s="3"/>
      <c r="D163" s="3"/>
      <c r="E163" s="3"/>
      <c r="F163" s="3"/>
      <c r="G163" s="3"/>
      <c r="H163" s="2"/>
    </row>
    <row r="164" spans="1:8" x14ac:dyDescent="0.45">
      <c r="A164" s="2"/>
      <c r="B164" s="2"/>
      <c r="C164" s="3"/>
      <c r="D164" s="3"/>
      <c r="E164" s="3"/>
      <c r="F164" s="3"/>
      <c r="G164" s="3"/>
      <c r="H164" s="2"/>
    </row>
    <row r="165" spans="1:8" x14ac:dyDescent="0.45">
      <c r="A165" s="2"/>
      <c r="B165" s="2"/>
      <c r="C165" s="3"/>
      <c r="D165" s="3"/>
      <c r="E165" s="3"/>
      <c r="F165" s="3"/>
      <c r="G165" s="3"/>
      <c r="H165" s="2"/>
    </row>
    <row r="166" spans="1:8" x14ac:dyDescent="0.45">
      <c r="A166" s="2"/>
      <c r="B166" s="2"/>
      <c r="C166" s="3"/>
      <c r="D166" s="3"/>
      <c r="E166" s="3"/>
      <c r="F166" s="3"/>
      <c r="G166" s="3"/>
      <c r="H166" s="2"/>
    </row>
    <row r="167" spans="1:8" x14ac:dyDescent="0.45">
      <c r="A167" s="2"/>
      <c r="B167" s="2"/>
      <c r="C167" s="3"/>
      <c r="D167" s="3"/>
      <c r="E167" s="3"/>
      <c r="F167" s="3"/>
      <c r="G167" s="3"/>
      <c r="H167" s="2"/>
    </row>
    <row r="168" spans="1:8" x14ac:dyDescent="0.45">
      <c r="A168" s="2"/>
      <c r="B168" s="2"/>
      <c r="C168" s="3"/>
      <c r="D168" s="3"/>
      <c r="E168" s="3"/>
      <c r="F168" s="3"/>
      <c r="G168" s="3"/>
      <c r="H168" s="2"/>
    </row>
    <row r="169" spans="1:8" x14ac:dyDescent="0.45">
      <c r="A169" s="2"/>
      <c r="B169" s="2"/>
      <c r="C169" s="3"/>
      <c r="D169" s="3"/>
      <c r="E169" s="3"/>
      <c r="F169" s="3"/>
      <c r="G169" s="3"/>
      <c r="H169" s="2"/>
    </row>
    <row r="170" spans="1:8" x14ac:dyDescent="0.45">
      <c r="A170" s="2"/>
      <c r="B170" s="2"/>
      <c r="C170" s="3"/>
      <c r="D170" s="3"/>
      <c r="E170" s="3"/>
      <c r="F170" s="3"/>
      <c r="G170" s="3"/>
      <c r="H170" s="2"/>
    </row>
    <row r="171" spans="1:8" x14ac:dyDescent="0.45">
      <c r="A171" s="2"/>
      <c r="B171" s="2"/>
      <c r="C171" s="3"/>
      <c r="D171" s="3"/>
      <c r="E171" s="3"/>
      <c r="F171" s="3"/>
      <c r="G171" s="3"/>
      <c r="H171" s="2"/>
    </row>
    <row r="172" spans="1:8" x14ac:dyDescent="0.45">
      <c r="A172" s="2"/>
      <c r="B172" s="2"/>
      <c r="C172" s="3"/>
      <c r="D172" s="3"/>
      <c r="E172" s="3"/>
      <c r="F172" s="3"/>
      <c r="G172" s="3"/>
      <c r="H172" s="2"/>
    </row>
    <row r="173" spans="1:8" x14ac:dyDescent="0.45">
      <c r="A173" s="2"/>
      <c r="B173" s="2"/>
      <c r="C173" s="3"/>
      <c r="D173" s="3"/>
      <c r="E173" s="3"/>
      <c r="F173" s="3"/>
      <c r="G173" s="3"/>
      <c r="H173" s="2"/>
    </row>
    <row r="174" spans="1:8" x14ac:dyDescent="0.45">
      <c r="A174" s="2"/>
      <c r="B174" s="2"/>
      <c r="C174" s="3"/>
      <c r="D174" s="3"/>
      <c r="E174" s="3"/>
      <c r="F174" s="3"/>
      <c r="G174" s="3"/>
      <c r="H174" s="2"/>
    </row>
    <row r="175" spans="1:8" x14ac:dyDescent="0.45">
      <c r="A175" s="2"/>
      <c r="B175" s="2"/>
      <c r="C175" s="3"/>
      <c r="D175" s="3"/>
      <c r="E175" s="3"/>
      <c r="F175" s="3"/>
      <c r="G175" s="3"/>
      <c r="H175" s="2"/>
    </row>
    <row r="176" spans="1:8" x14ac:dyDescent="0.45">
      <c r="A176" s="2"/>
      <c r="B176" s="2"/>
      <c r="C176" s="3"/>
      <c r="D176" s="3"/>
      <c r="E176" s="3"/>
      <c r="F176" s="3"/>
      <c r="G176" s="3"/>
      <c r="H176" s="2"/>
    </row>
    <row r="177" spans="1:8" x14ac:dyDescent="0.45">
      <c r="A177" s="2"/>
      <c r="B177" s="2"/>
      <c r="C177" s="3"/>
      <c r="D177" s="3"/>
      <c r="E177" s="3"/>
      <c r="F177" s="3"/>
      <c r="G177" s="3"/>
      <c r="H177" s="2"/>
    </row>
    <row r="178" spans="1:8" x14ac:dyDescent="0.45">
      <c r="A178" s="2"/>
      <c r="B178" s="2"/>
      <c r="C178" s="3"/>
      <c r="D178" s="3"/>
      <c r="E178" s="3"/>
      <c r="F178" s="3"/>
      <c r="G178" s="3"/>
      <c r="H178" s="2"/>
    </row>
    <row r="179" spans="1:8" x14ac:dyDescent="0.45">
      <c r="A179" s="2"/>
      <c r="B179" s="2"/>
      <c r="C179" s="3"/>
      <c r="D179" s="3"/>
      <c r="E179" s="3"/>
      <c r="F179" s="3"/>
      <c r="G179" s="3"/>
      <c r="H179" s="2"/>
    </row>
    <row r="180" spans="1:8" x14ac:dyDescent="0.45">
      <c r="A180" s="2"/>
      <c r="B180" s="2"/>
      <c r="C180" s="3"/>
      <c r="D180" s="3"/>
      <c r="E180" s="3"/>
      <c r="F180" s="3"/>
      <c r="G180" s="3"/>
      <c r="H180" s="2"/>
    </row>
    <row r="181" spans="1:8" x14ac:dyDescent="0.45">
      <c r="A181" s="2"/>
      <c r="B181" s="2"/>
      <c r="C181" s="3"/>
      <c r="D181" s="3"/>
      <c r="E181" s="3"/>
      <c r="F181" s="3"/>
      <c r="G181" s="3"/>
      <c r="H181" s="2"/>
    </row>
    <row r="182" spans="1:8" x14ac:dyDescent="0.45">
      <c r="A182" s="2"/>
      <c r="B182" s="2"/>
      <c r="C182" s="3"/>
      <c r="D182" s="3"/>
      <c r="E182" s="3"/>
      <c r="F182" s="3"/>
      <c r="G182" s="3"/>
      <c r="H182" s="2"/>
    </row>
    <row r="183" spans="1:8" x14ac:dyDescent="0.45">
      <c r="A183" s="2"/>
      <c r="B183" s="2"/>
      <c r="C183" s="3"/>
      <c r="D183" s="3"/>
      <c r="E183" s="3"/>
      <c r="F183" s="3"/>
      <c r="G183" s="3"/>
      <c r="H183" s="2"/>
    </row>
    <row r="184" spans="1:8" x14ac:dyDescent="0.45">
      <c r="A184" s="2"/>
      <c r="B184" s="2"/>
      <c r="C184" s="3"/>
      <c r="D184" s="3"/>
      <c r="E184" s="3"/>
      <c r="F184" s="3"/>
      <c r="G184" s="3"/>
      <c r="H184" s="2"/>
    </row>
    <row r="185" spans="1:8" x14ac:dyDescent="0.45">
      <c r="A185" s="2"/>
      <c r="B185" s="2"/>
      <c r="C185" s="3"/>
      <c r="D185" s="3"/>
      <c r="E185" s="3"/>
      <c r="F185" s="3"/>
      <c r="G185" s="3"/>
      <c r="H185" s="2"/>
    </row>
    <row r="186" spans="1:8" x14ac:dyDescent="0.45">
      <c r="A186" s="2"/>
      <c r="B186" s="2"/>
      <c r="C186" s="3"/>
      <c r="D186" s="3"/>
      <c r="E186" s="3"/>
      <c r="F186" s="3"/>
      <c r="G186" s="3"/>
      <c r="H186" s="2"/>
    </row>
    <row r="187" spans="1:8" x14ac:dyDescent="0.45">
      <c r="A187" s="2"/>
      <c r="B187" s="2"/>
      <c r="C187" s="3"/>
      <c r="D187" s="3"/>
      <c r="E187" s="3"/>
      <c r="F187" s="3"/>
      <c r="G187" s="3"/>
      <c r="H187" s="2"/>
    </row>
    <row r="188" spans="1:8" x14ac:dyDescent="0.45">
      <c r="A188" s="2"/>
      <c r="B188" s="2"/>
      <c r="C188" s="3"/>
      <c r="D188" s="3"/>
      <c r="E188" s="3"/>
      <c r="F188" s="3"/>
      <c r="G188" s="3"/>
      <c r="H188" s="2"/>
    </row>
    <row r="189" spans="1:8" x14ac:dyDescent="0.45">
      <c r="A189" s="2"/>
      <c r="B189" s="2"/>
      <c r="C189" s="3"/>
      <c r="D189" s="3"/>
      <c r="E189" s="3"/>
      <c r="F189" s="3"/>
      <c r="G189" s="3"/>
      <c r="H189" s="2"/>
    </row>
    <row r="190" spans="1:8" x14ac:dyDescent="0.45">
      <c r="A190" s="2"/>
      <c r="B190" s="2"/>
      <c r="C190" s="3"/>
      <c r="D190" s="3"/>
      <c r="E190" s="3"/>
      <c r="F190" s="3"/>
      <c r="G190" s="3"/>
      <c r="H190" s="2"/>
    </row>
    <row r="191" spans="1:8" x14ac:dyDescent="0.45">
      <c r="A191" s="2"/>
      <c r="B191" s="2"/>
      <c r="C191" s="3"/>
      <c r="D191" s="3"/>
      <c r="E191" s="3"/>
      <c r="F191" s="3"/>
      <c r="G191" s="3"/>
      <c r="H191" s="2"/>
    </row>
    <row r="192" spans="1:8" x14ac:dyDescent="0.45">
      <c r="A192" s="2"/>
      <c r="B192" s="2"/>
      <c r="C192" s="3"/>
      <c r="D192" s="3"/>
      <c r="E192" s="3"/>
      <c r="F192" s="3"/>
      <c r="G192" s="3"/>
      <c r="H192" s="2"/>
    </row>
    <row r="193" spans="1:8" x14ac:dyDescent="0.45">
      <c r="A193" s="2"/>
      <c r="B193" s="2"/>
      <c r="C193" s="3"/>
      <c r="D193" s="3"/>
      <c r="E193" s="3"/>
      <c r="F193" s="3"/>
      <c r="G193" s="3"/>
      <c r="H193" s="2"/>
    </row>
    <row r="194" spans="1:8" x14ac:dyDescent="0.45">
      <c r="A194" s="2"/>
      <c r="B194" s="2"/>
      <c r="C194" s="3"/>
      <c r="D194" s="3"/>
      <c r="E194" s="3"/>
      <c r="F194" s="3"/>
      <c r="G194" s="3"/>
      <c r="H194" s="2"/>
    </row>
    <row r="195" spans="1:8" x14ac:dyDescent="0.45">
      <c r="A195" s="2"/>
      <c r="B195" s="2"/>
      <c r="C195" s="3"/>
      <c r="D195" s="3"/>
      <c r="E195" s="3"/>
      <c r="F195" s="3"/>
      <c r="G195" s="3"/>
      <c r="H195" s="2"/>
    </row>
    <row r="196" spans="1:8" x14ac:dyDescent="0.45">
      <c r="A196" s="2"/>
      <c r="B196" s="2"/>
      <c r="C196" s="3"/>
      <c r="D196" s="3"/>
      <c r="E196" s="3"/>
      <c r="F196" s="3"/>
      <c r="G196" s="3"/>
      <c r="H196" s="2"/>
    </row>
    <row r="197" spans="1:8" x14ac:dyDescent="0.45">
      <c r="A197" s="2"/>
      <c r="B197" s="2"/>
      <c r="C197" s="3"/>
      <c r="D197" s="3"/>
      <c r="E197" s="3"/>
      <c r="F197" s="3"/>
      <c r="G197" s="3"/>
      <c r="H197" s="2"/>
    </row>
    <row r="198" spans="1:8" x14ac:dyDescent="0.45">
      <c r="A198" s="2"/>
      <c r="B198" s="2"/>
      <c r="C198" s="3"/>
      <c r="D198" s="3"/>
      <c r="E198" s="3"/>
      <c r="F198" s="3"/>
      <c r="G198" s="3"/>
      <c r="H198" s="2"/>
    </row>
    <row r="199" spans="1:8" x14ac:dyDescent="0.45">
      <c r="A199" s="2"/>
      <c r="B199" s="2"/>
      <c r="C199" s="3"/>
      <c r="D199" s="3"/>
      <c r="E199" s="3"/>
      <c r="F199" s="3"/>
      <c r="G199" s="3"/>
      <c r="H199" s="2"/>
    </row>
    <row r="200" spans="1:8" x14ac:dyDescent="0.45">
      <c r="A200" s="2"/>
      <c r="B200" s="2"/>
      <c r="C200" s="3"/>
      <c r="D200" s="3"/>
      <c r="E200" s="3"/>
      <c r="F200" s="3"/>
      <c r="G200" s="3"/>
      <c r="H200" s="2"/>
    </row>
    <row r="201" spans="1:8" x14ac:dyDescent="0.45">
      <c r="A201" s="2"/>
      <c r="B201" s="2"/>
      <c r="C201" s="3"/>
      <c r="D201" s="3"/>
      <c r="E201" s="3"/>
      <c r="F201" s="3"/>
      <c r="G201" s="3"/>
      <c r="H201" s="2"/>
    </row>
    <row r="203" spans="1:8" x14ac:dyDescent="0.45">
      <c r="A203" s="14" t="s">
        <v>97</v>
      </c>
    </row>
  </sheetData>
  <pageMargins left="0.7" right="0.7" top="0.75" bottom="0.75" header="0.3" footer="0.3"/>
  <headerFooter>
    <oddHeader>&amp;C&amp;"Calibri"&amp;1 &amp;K000000 Classification: General#_x000D_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00"/>
  <sheetViews>
    <sheetView showGridLines="0" zoomScale="90" zoomScaleNormal="55" workbookViewId="0">
      <selection activeCell="C12" sqref="C6:C12"/>
    </sheetView>
  </sheetViews>
  <sheetFormatPr defaultRowHeight="14.25" x14ac:dyDescent="0.45"/>
  <cols>
    <col min="1" max="1" width="20" style="15" customWidth="1"/>
    <col min="2" max="2" width="22" style="15" customWidth="1"/>
    <col min="3" max="3" width="28" style="15" customWidth="1"/>
    <col min="4" max="4" width="16" style="15" customWidth="1"/>
    <col min="5" max="5" width="14" style="15" customWidth="1"/>
  </cols>
  <sheetData>
    <row r="1" spans="1:5" ht="28.05" customHeight="1" x14ac:dyDescent="0.45">
      <c r="A1" s="23" t="s">
        <v>98</v>
      </c>
      <c r="B1" s="24"/>
      <c r="C1" s="24"/>
      <c r="D1" s="24"/>
      <c r="E1" s="24"/>
    </row>
    <row r="2" spans="1:5" ht="18" customHeight="1" x14ac:dyDescent="0.45">
      <c r="A2" s="4" t="s">
        <v>99</v>
      </c>
      <c r="B2" s="5">
        <f>SUM(D5:D200)</f>
        <v>2179.1999999999998</v>
      </c>
    </row>
    <row r="3" spans="1:5" ht="18" customHeight="1" x14ac:dyDescent="0.45">
      <c r="A3" s="4" t="s">
        <v>7</v>
      </c>
      <c r="B3" s="25" t="s">
        <v>100</v>
      </c>
      <c r="C3" s="24"/>
      <c r="D3" s="24"/>
      <c r="E3" s="24"/>
    </row>
    <row r="4" spans="1:5" ht="18" customHeight="1" x14ac:dyDescent="0.45">
      <c r="A4" s="6" t="s">
        <v>101</v>
      </c>
      <c r="B4" s="6" t="s">
        <v>102</v>
      </c>
      <c r="C4" s="6" t="s">
        <v>103</v>
      </c>
      <c r="D4" s="6" t="s">
        <v>104</v>
      </c>
      <c r="E4" s="6" t="s">
        <v>105</v>
      </c>
    </row>
    <row r="5" spans="1:5" ht="18" customHeight="1" x14ac:dyDescent="0.45">
      <c r="A5" s="26" t="s">
        <v>106</v>
      </c>
      <c r="B5" s="24"/>
      <c r="C5" s="24"/>
      <c r="D5" s="24"/>
      <c r="E5" s="24"/>
    </row>
    <row r="6" spans="1:5" ht="18" customHeight="1" x14ac:dyDescent="0.45">
      <c r="B6" s="7" t="s">
        <v>107</v>
      </c>
      <c r="C6" s="19" t="s">
        <v>150</v>
      </c>
      <c r="D6" s="8">
        <f>IFERROR(VLOOKUP(C6,Players!$A:$C,3,FALSE),0)</f>
        <v>0</v>
      </c>
      <c r="E6" s="7" t="s">
        <v>107</v>
      </c>
    </row>
    <row r="7" spans="1:5" ht="18" customHeight="1" x14ac:dyDescent="0.45">
      <c r="B7" s="7" t="s">
        <v>108</v>
      </c>
      <c r="C7" s="19" t="s">
        <v>65</v>
      </c>
      <c r="D7" s="8">
        <f>IFERROR(VLOOKUP(C7,Players!$A:$C,3,FALSE),0)</f>
        <v>38</v>
      </c>
      <c r="E7" s="7" t="s">
        <v>109</v>
      </c>
    </row>
    <row r="8" spans="1:5" ht="18" customHeight="1" x14ac:dyDescent="0.45">
      <c r="B8" s="7" t="s">
        <v>110</v>
      </c>
      <c r="C8" s="19" t="s">
        <v>23</v>
      </c>
      <c r="D8" s="8">
        <f>IFERROR(VLOOKUP(C8,Players!$A:$C,3,FALSE),0)</f>
        <v>26.9</v>
      </c>
      <c r="E8" s="7" t="s">
        <v>109</v>
      </c>
    </row>
    <row r="9" spans="1:5" ht="18" customHeight="1" x14ac:dyDescent="0.45">
      <c r="B9" s="7" t="s">
        <v>111</v>
      </c>
      <c r="C9" s="19" t="s">
        <v>32</v>
      </c>
      <c r="D9" s="8">
        <f>IFERROR(VLOOKUP(C9,Players!$A:$C,3,FALSE),0)</f>
        <v>40.5</v>
      </c>
      <c r="E9" s="7" t="s">
        <v>109</v>
      </c>
    </row>
    <row r="10" spans="1:5" ht="18" customHeight="1" x14ac:dyDescent="0.45">
      <c r="B10" s="7" t="s">
        <v>112</v>
      </c>
      <c r="C10" s="19" t="s">
        <v>48</v>
      </c>
      <c r="D10" s="8">
        <f>IFERROR(VLOOKUP(C10,Players!$A:$C,3,FALSE),0)</f>
        <v>39.799999999999997</v>
      </c>
      <c r="E10" s="7" t="s">
        <v>113</v>
      </c>
    </row>
    <row r="11" spans="1:5" ht="18" customHeight="1" x14ac:dyDescent="0.45">
      <c r="B11" s="7" t="s">
        <v>114</v>
      </c>
      <c r="C11" s="19" t="s">
        <v>30</v>
      </c>
      <c r="D11" s="8">
        <f>IFERROR(VLOOKUP(C11,Players!$A:$C,3,FALSE),0)</f>
        <v>40.9</v>
      </c>
      <c r="E11" s="7" t="s">
        <v>113</v>
      </c>
    </row>
    <row r="12" spans="1:5" ht="18" customHeight="1" x14ac:dyDescent="0.45">
      <c r="B12" s="9" t="s">
        <v>115</v>
      </c>
      <c r="C12" s="20"/>
      <c r="D12" s="11">
        <f>SUM(D6:D11)</f>
        <v>186.1</v>
      </c>
      <c r="E12" s="10"/>
    </row>
    <row r="13" spans="1:5" ht="18" customHeight="1" x14ac:dyDescent="0.45"/>
    <row r="14" spans="1:5" ht="18" customHeight="1" x14ac:dyDescent="0.45">
      <c r="A14" s="26" t="s">
        <v>116</v>
      </c>
      <c r="B14" s="24"/>
      <c r="C14" s="24"/>
      <c r="D14" s="24"/>
      <c r="E14" s="24"/>
    </row>
    <row r="15" spans="1:5" ht="18" customHeight="1" x14ac:dyDescent="0.45">
      <c r="B15" s="7" t="s">
        <v>107</v>
      </c>
      <c r="C15" s="19" t="s">
        <v>16</v>
      </c>
      <c r="D15" s="8">
        <f>IFERROR(VLOOKUP(C15,Players!$A:$C,3,FALSE),0)</f>
        <v>34.700000000000003</v>
      </c>
      <c r="E15" s="7" t="s">
        <v>107</v>
      </c>
    </row>
    <row r="16" spans="1:5" ht="18" customHeight="1" x14ac:dyDescent="0.45">
      <c r="B16" s="7" t="s">
        <v>108</v>
      </c>
      <c r="C16" s="19" t="s">
        <v>24</v>
      </c>
      <c r="D16" s="8">
        <f>IFERROR(VLOOKUP(C16,Players!$A:$C,3,FALSE),0)</f>
        <v>39.5</v>
      </c>
      <c r="E16" s="7" t="s">
        <v>109</v>
      </c>
    </row>
    <row r="17" spans="1:5" ht="18" customHeight="1" x14ac:dyDescent="0.45">
      <c r="B17" s="7" t="s">
        <v>110</v>
      </c>
      <c r="C17" s="19" t="s">
        <v>42</v>
      </c>
      <c r="D17" s="8">
        <f>IFERROR(VLOOKUP(C17,Players!$A:$C,3,FALSE),0)</f>
        <v>30.1</v>
      </c>
      <c r="E17" s="7" t="s">
        <v>109</v>
      </c>
    </row>
    <row r="18" spans="1:5" ht="18" customHeight="1" x14ac:dyDescent="0.45">
      <c r="B18" s="7" t="s">
        <v>111</v>
      </c>
      <c r="C18" s="19" t="s">
        <v>45</v>
      </c>
      <c r="D18" s="8">
        <f>IFERROR(VLOOKUP(C18,Players!$A:$C,3,FALSE),0)</f>
        <v>37.700000000000003</v>
      </c>
      <c r="E18" s="7" t="s">
        <v>109</v>
      </c>
    </row>
    <row r="19" spans="1:5" ht="18" customHeight="1" x14ac:dyDescent="0.45">
      <c r="B19" s="9" t="s">
        <v>115</v>
      </c>
      <c r="C19" s="20"/>
      <c r="D19" s="11">
        <f>SUM(D15:D18)</f>
        <v>142</v>
      </c>
      <c r="E19" s="10"/>
    </row>
    <row r="20" spans="1:5" ht="18" customHeight="1" x14ac:dyDescent="0.45"/>
    <row r="21" spans="1:5" ht="18" customHeight="1" x14ac:dyDescent="0.45">
      <c r="A21" s="26" t="s">
        <v>117</v>
      </c>
      <c r="B21" s="24"/>
      <c r="C21" s="24"/>
      <c r="D21" s="24"/>
      <c r="E21" s="24"/>
    </row>
    <row r="22" spans="1:5" ht="18" customHeight="1" x14ac:dyDescent="0.45">
      <c r="B22" s="7" t="s">
        <v>107</v>
      </c>
      <c r="C22" s="21" t="s">
        <v>37</v>
      </c>
      <c r="D22" s="8">
        <f>IFERROR(VLOOKUP(C22,Players!$A:$C,3,FALSE),0)</f>
        <v>36.9</v>
      </c>
      <c r="E22" s="7" t="s">
        <v>107</v>
      </c>
    </row>
    <row r="23" spans="1:5" ht="18" customHeight="1" x14ac:dyDescent="0.45">
      <c r="B23" s="7" t="s">
        <v>108</v>
      </c>
      <c r="C23" s="19" t="s">
        <v>84</v>
      </c>
      <c r="D23" s="8">
        <f>IFERROR(VLOOKUP(C23,Players!$A:$C,3,FALSE),0)</f>
        <v>51</v>
      </c>
      <c r="E23" s="7" t="s">
        <v>109</v>
      </c>
    </row>
    <row r="24" spans="1:5" ht="18" customHeight="1" x14ac:dyDescent="0.45">
      <c r="B24" s="7" t="s">
        <v>110</v>
      </c>
      <c r="C24" s="19" t="s">
        <v>72</v>
      </c>
      <c r="D24" s="8">
        <f>IFERROR(VLOOKUP(C24,Players!$A:$C,3,FALSE),0)</f>
        <v>27.3</v>
      </c>
      <c r="E24" s="7" t="s">
        <v>109</v>
      </c>
    </row>
    <row r="25" spans="1:5" ht="18" customHeight="1" x14ac:dyDescent="0.45">
      <c r="B25" s="7" t="s">
        <v>111</v>
      </c>
      <c r="C25" s="19" t="s">
        <v>63</v>
      </c>
      <c r="D25" s="8">
        <f>IFERROR(VLOOKUP(C25,Players!$A:$C,3,FALSE),0)</f>
        <v>35.5</v>
      </c>
      <c r="E25" s="7" t="s">
        <v>109</v>
      </c>
    </row>
    <row r="26" spans="1:5" ht="18" customHeight="1" x14ac:dyDescent="0.45">
      <c r="B26" s="7" t="s">
        <v>112</v>
      </c>
      <c r="C26" s="19" t="s">
        <v>15</v>
      </c>
      <c r="D26" s="8">
        <f>IFERROR(VLOOKUP(C26,Players!$A:$C,3,FALSE),0)</f>
        <v>49.7</v>
      </c>
      <c r="E26" s="7" t="s">
        <v>113</v>
      </c>
    </row>
    <row r="27" spans="1:5" ht="18" customHeight="1" x14ac:dyDescent="0.45">
      <c r="B27" s="9" t="s">
        <v>115</v>
      </c>
      <c r="C27" s="20"/>
      <c r="D27" s="11">
        <f>SUM(D22:D26)</f>
        <v>200.39999999999998</v>
      </c>
      <c r="E27" s="10"/>
    </row>
    <row r="28" spans="1:5" ht="18" customHeight="1" x14ac:dyDescent="0.45"/>
    <row r="29" spans="1:5" ht="18" customHeight="1" x14ac:dyDescent="0.45">
      <c r="A29" s="26" t="s">
        <v>118</v>
      </c>
      <c r="B29" s="24"/>
      <c r="C29" s="24"/>
      <c r="D29" s="24"/>
      <c r="E29" s="24"/>
    </row>
    <row r="30" spans="1:5" ht="18" customHeight="1" x14ac:dyDescent="0.45">
      <c r="B30" s="7" t="s">
        <v>108</v>
      </c>
      <c r="C30" s="19" t="s">
        <v>40</v>
      </c>
      <c r="D30" s="8">
        <f>IFERROR(VLOOKUP(C30,Players!$A:$C,3,FALSE),0)</f>
        <v>35.4</v>
      </c>
      <c r="E30" s="7" t="s">
        <v>109</v>
      </c>
    </row>
    <row r="31" spans="1:5" ht="18" customHeight="1" x14ac:dyDescent="0.45">
      <c r="B31" s="7" t="s">
        <v>110</v>
      </c>
      <c r="C31" s="19" t="s">
        <v>12</v>
      </c>
      <c r="D31" s="8">
        <f>IFERROR(VLOOKUP(C31,Players!$A:$C,3,FALSE),0)</f>
        <v>45.1</v>
      </c>
      <c r="E31" s="7" t="s">
        <v>109</v>
      </c>
    </row>
    <row r="32" spans="1:5" ht="18" customHeight="1" x14ac:dyDescent="0.45">
      <c r="B32" s="7" t="s">
        <v>111</v>
      </c>
      <c r="C32" s="22" t="s">
        <v>17</v>
      </c>
      <c r="D32" s="8">
        <f>IFERROR(VLOOKUP(C32,Players!$A:$C,3,FALSE),0)</f>
        <v>65.599999999999994</v>
      </c>
      <c r="E32" s="7" t="s">
        <v>109</v>
      </c>
    </row>
    <row r="33" spans="1:5" ht="18" customHeight="1" x14ac:dyDescent="0.45">
      <c r="B33" s="7" t="s">
        <v>119</v>
      </c>
      <c r="C33" s="19" t="s">
        <v>8</v>
      </c>
      <c r="D33" s="8">
        <f>IFERROR(VLOOKUP(C33,Players!$A:$C,3,FALSE),0)</f>
        <v>37.299999999999997</v>
      </c>
      <c r="E33" s="7" t="s">
        <v>109</v>
      </c>
    </row>
    <row r="34" spans="1:5" ht="18" customHeight="1" x14ac:dyDescent="0.45">
      <c r="B34" s="7" t="s">
        <v>120</v>
      </c>
      <c r="C34" s="19" t="s">
        <v>14</v>
      </c>
      <c r="D34" s="8">
        <f>IFERROR(VLOOKUP(C34,Players!$A:$C,3,FALSE),0)</f>
        <v>62.3</v>
      </c>
      <c r="E34" s="7" t="s">
        <v>109</v>
      </c>
    </row>
    <row r="35" spans="1:5" ht="18" customHeight="1" x14ac:dyDescent="0.45">
      <c r="B35" s="9" t="s">
        <v>115</v>
      </c>
      <c r="C35" s="20"/>
      <c r="D35" s="11">
        <f>SUM(D30:D34)</f>
        <v>245.7</v>
      </c>
      <c r="E35" s="10"/>
    </row>
    <row r="36" spans="1:5" ht="18" customHeight="1" x14ac:dyDescent="0.45"/>
    <row r="37" spans="1:5" ht="18" customHeight="1" x14ac:dyDescent="0.45">
      <c r="A37" s="26" t="s">
        <v>121</v>
      </c>
      <c r="B37" s="24"/>
      <c r="C37" s="24"/>
      <c r="D37" s="24"/>
      <c r="E37" s="24"/>
    </row>
    <row r="38" spans="1:5" ht="18" customHeight="1" x14ac:dyDescent="0.45">
      <c r="B38" s="7" t="s">
        <v>122</v>
      </c>
      <c r="C38" s="19" t="s">
        <v>10</v>
      </c>
      <c r="D38" s="8">
        <f>IFERROR(VLOOKUP(C38,Players!$A:$C,3,FALSE),0)</f>
        <v>36</v>
      </c>
      <c r="E38" s="7" t="s">
        <v>123</v>
      </c>
    </row>
    <row r="39" spans="1:5" ht="18" customHeight="1" x14ac:dyDescent="0.45">
      <c r="B39" s="7" t="s">
        <v>124</v>
      </c>
      <c r="C39" s="19" t="s">
        <v>18</v>
      </c>
      <c r="D39" s="8">
        <f>IFERROR(VLOOKUP(C39,Players!$A:$C,3,FALSE),0)</f>
        <v>35.700000000000003</v>
      </c>
      <c r="E39" s="7" t="s">
        <v>123</v>
      </c>
    </row>
    <row r="40" spans="1:5" ht="18" customHeight="1" x14ac:dyDescent="0.45">
      <c r="B40" s="7" t="s">
        <v>125</v>
      </c>
      <c r="C40" s="19" t="s">
        <v>56</v>
      </c>
      <c r="D40" s="8">
        <f>IFERROR(VLOOKUP(C40,Players!$A:$C,3,FALSE),0)</f>
        <v>31.5</v>
      </c>
      <c r="E40" s="7" t="s">
        <v>123</v>
      </c>
    </row>
    <row r="41" spans="1:5" ht="18" customHeight="1" x14ac:dyDescent="0.45">
      <c r="B41" s="7" t="s">
        <v>126</v>
      </c>
      <c r="C41" s="19" t="s">
        <v>55</v>
      </c>
      <c r="D41" s="8">
        <f>IFERROR(VLOOKUP(C41,Players!$A:$C,3,FALSE),0)</f>
        <v>30.3</v>
      </c>
      <c r="E41" s="7" t="s">
        <v>123</v>
      </c>
    </row>
    <row r="42" spans="1:5" ht="18" customHeight="1" x14ac:dyDescent="0.45">
      <c r="B42" s="7" t="s">
        <v>127</v>
      </c>
      <c r="C42" s="19" t="s">
        <v>53</v>
      </c>
      <c r="D42" s="8">
        <f>IFERROR(VLOOKUP(C42,Players!$A:$C,3,FALSE),0)</f>
        <v>34.200000000000003</v>
      </c>
      <c r="E42" s="7" t="s">
        <v>123</v>
      </c>
    </row>
    <row r="43" spans="1:5" ht="18" customHeight="1" x14ac:dyDescent="0.45">
      <c r="B43" s="7" t="s">
        <v>128</v>
      </c>
      <c r="C43" s="19" t="s">
        <v>151</v>
      </c>
      <c r="D43" s="8">
        <f>IFERROR(VLOOKUP(C43,Players!$A:$C,3,FALSE),0)</f>
        <v>0</v>
      </c>
      <c r="E43" s="7" t="s">
        <v>123</v>
      </c>
    </row>
    <row r="44" spans="1:5" ht="18" customHeight="1" x14ac:dyDescent="0.45">
      <c r="B44" s="7" t="s">
        <v>129</v>
      </c>
      <c r="C44" s="19" t="s">
        <v>19</v>
      </c>
      <c r="D44" s="8">
        <f>IFERROR(VLOOKUP(C44,Players!$A:$C,3,FALSE),0)</f>
        <v>44.7</v>
      </c>
      <c r="E44" s="7" t="s">
        <v>123</v>
      </c>
    </row>
    <row r="45" spans="1:5" ht="18" customHeight="1" x14ac:dyDescent="0.45">
      <c r="B45" s="7" t="s">
        <v>130</v>
      </c>
      <c r="C45" s="19" t="s">
        <v>70</v>
      </c>
      <c r="D45" s="8">
        <f>IFERROR(VLOOKUP(C45,Players!$A:$C,3,FALSE),0)</f>
        <v>27.9</v>
      </c>
      <c r="E45" s="7" t="s">
        <v>123</v>
      </c>
    </row>
    <row r="46" spans="1:5" ht="18" customHeight="1" x14ac:dyDescent="0.45">
      <c r="B46" s="7" t="s">
        <v>131</v>
      </c>
      <c r="C46" s="19" t="s">
        <v>144</v>
      </c>
      <c r="D46" s="8">
        <f>IFERROR(VLOOKUP(C46,Players!$A:$C,3,FALSE),0)</f>
        <v>75.099999999999994</v>
      </c>
      <c r="E46" s="7" t="s">
        <v>123</v>
      </c>
    </row>
    <row r="47" spans="1:5" ht="18" customHeight="1" x14ac:dyDescent="0.45">
      <c r="B47" s="7" t="s">
        <v>132</v>
      </c>
      <c r="C47" s="20"/>
      <c r="D47" s="8">
        <f>IFERROR(VLOOKUP(#REF!,Players!$A:$C,3,FALSE),0)</f>
        <v>0</v>
      </c>
      <c r="E47" s="7" t="s">
        <v>123</v>
      </c>
    </row>
    <row r="48" spans="1:5" ht="18" customHeight="1" x14ac:dyDescent="0.45">
      <c r="B48" s="9" t="s">
        <v>133</v>
      </c>
      <c r="D48" s="11">
        <f>SUM(D38:D47)</f>
        <v>315.39999999999998</v>
      </c>
      <c r="E48" s="10"/>
    </row>
    <row r="49" ht="18" customHeight="1" x14ac:dyDescent="0.45"/>
    <row r="50" ht="18" customHeight="1" x14ac:dyDescent="0.45"/>
    <row r="51" ht="18" customHeight="1" x14ac:dyDescent="0.45"/>
    <row r="52" ht="18" customHeight="1" x14ac:dyDescent="0.45"/>
    <row r="53" ht="18" customHeight="1" x14ac:dyDescent="0.45"/>
    <row r="54" ht="18" customHeight="1" x14ac:dyDescent="0.45"/>
    <row r="55" ht="18" customHeight="1" x14ac:dyDescent="0.45"/>
    <row r="56" ht="18" customHeight="1" x14ac:dyDescent="0.45"/>
    <row r="57" ht="18" customHeight="1" x14ac:dyDescent="0.45"/>
    <row r="58" ht="18" customHeight="1" x14ac:dyDescent="0.45"/>
    <row r="59" ht="18" customHeight="1" x14ac:dyDescent="0.45"/>
    <row r="60" ht="18" customHeight="1" x14ac:dyDescent="0.45"/>
    <row r="61" ht="18" customHeight="1" x14ac:dyDescent="0.45"/>
    <row r="62" ht="18" customHeight="1" x14ac:dyDescent="0.45"/>
    <row r="63" ht="18" customHeight="1" x14ac:dyDescent="0.45"/>
    <row r="64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</sheetData>
  <mergeCells count="7">
    <mergeCell ref="A1:E1"/>
    <mergeCell ref="B3:E3"/>
    <mergeCell ref="A37:E37"/>
    <mergeCell ref="A14:E14"/>
    <mergeCell ref="A21:E21"/>
    <mergeCell ref="A29:E29"/>
    <mergeCell ref="A5:E5"/>
  </mergeCells>
  <conditionalFormatting sqref="C5:C47 C49:C200">
    <cfRule type="expression" dxfId="3" priority="1">
      <formula>AND(C5&lt;&gt;"",COUNTIF(TFA_Assign,C5)+COUNTIF(TFB_Assign,C5)&gt;1)</formula>
    </cfRule>
    <cfRule type="expression" dxfId="2" priority="2">
      <formula>COUNTIF($C$5:$C$200,C5)&gt;1</formula>
    </cfRule>
  </conditionalFormatting>
  <pageMargins left="0.7" right="0.7" top="0.75" bottom="0.75" header="0.3" footer="0.3"/>
  <headerFooter>
    <oddHeader>&amp;C&amp;"Calibri"&amp;1 &amp;K000000 Classification: General#_x000D_</oddHeader>
  </headerFooter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xr:uid="{00000000-0002-0000-0100-000000000000}">
          <x14:formula1>
            <xm:f>Players!$A$2:$A$203</xm:f>
          </x14:formula1>
          <xm:sqref>C49:C200 C6:C47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00"/>
  <sheetViews>
    <sheetView showGridLines="0" tabSelected="1" zoomScale="72" workbookViewId="0">
      <selection activeCell="C12" sqref="C6:C12"/>
    </sheetView>
  </sheetViews>
  <sheetFormatPr defaultRowHeight="14.25" x14ac:dyDescent="0.45"/>
  <cols>
    <col min="1" max="1" width="20" style="15" customWidth="1"/>
    <col min="2" max="2" width="22" style="15" customWidth="1"/>
    <col min="3" max="3" width="28" style="15" customWidth="1"/>
    <col min="4" max="4" width="16" style="15" customWidth="1"/>
    <col min="5" max="5" width="14" style="15" customWidth="1"/>
  </cols>
  <sheetData>
    <row r="1" spans="1:5" ht="28.05" customHeight="1" x14ac:dyDescent="0.45">
      <c r="A1" s="23" t="s">
        <v>134</v>
      </c>
      <c r="B1" s="24"/>
      <c r="C1" s="24"/>
      <c r="D1" s="24"/>
      <c r="E1" s="24"/>
    </row>
    <row r="2" spans="1:5" ht="18" customHeight="1" x14ac:dyDescent="0.45">
      <c r="A2" s="4" t="s">
        <v>99</v>
      </c>
      <c r="B2" s="5">
        <f>SUM(D5:D200)</f>
        <v>2013.2000000000005</v>
      </c>
    </row>
    <row r="3" spans="1:5" ht="18" customHeight="1" x14ac:dyDescent="0.45">
      <c r="A3" s="4" t="s">
        <v>7</v>
      </c>
      <c r="B3" s="25" t="s">
        <v>100</v>
      </c>
      <c r="C3" s="24"/>
      <c r="D3" s="24"/>
      <c r="E3" s="24"/>
    </row>
    <row r="4" spans="1:5" ht="18" customHeight="1" x14ac:dyDescent="0.45">
      <c r="A4" s="6" t="s">
        <v>101</v>
      </c>
      <c r="B4" s="6" t="s">
        <v>102</v>
      </c>
      <c r="C4" s="6" t="s">
        <v>103</v>
      </c>
      <c r="D4" s="6" t="s">
        <v>104</v>
      </c>
      <c r="E4" s="6" t="s">
        <v>105</v>
      </c>
    </row>
    <row r="5" spans="1:5" ht="18" customHeight="1" x14ac:dyDescent="0.45">
      <c r="A5" s="26" t="s">
        <v>106</v>
      </c>
      <c r="B5" s="24"/>
      <c r="C5" s="24"/>
      <c r="D5" s="24"/>
      <c r="E5" s="24"/>
    </row>
    <row r="6" spans="1:5" ht="18" customHeight="1" x14ac:dyDescent="0.45">
      <c r="B6" s="7" t="s">
        <v>107</v>
      </c>
      <c r="C6" s="19" t="s">
        <v>96</v>
      </c>
      <c r="D6" s="8">
        <f>IFERROR(VLOOKUP(C6,Players!$A$2:$C$202,3,FALSE),0)</f>
        <v>33.200000000000003</v>
      </c>
      <c r="E6" s="7" t="s">
        <v>107</v>
      </c>
    </row>
    <row r="7" spans="1:5" ht="18" customHeight="1" x14ac:dyDescent="0.45">
      <c r="B7" s="7" t="s">
        <v>108</v>
      </c>
      <c r="C7" s="19" t="s">
        <v>152</v>
      </c>
      <c r="D7" s="8">
        <f>IFERROR(VLOOKUP(C7,Players!$A$2:$C$202,3,FALSE),0)</f>
        <v>38</v>
      </c>
      <c r="E7" s="7" t="s">
        <v>109</v>
      </c>
    </row>
    <row r="8" spans="1:5" ht="18" customHeight="1" x14ac:dyDescent="0.45">
      <c r="B8" s="7" t="s">
        <v>110</v>
      </c>
      <c r="C8" s="19" t="s">
        <v>22</v>
      </c>
      <c r="D8" s="8">
        <f>IFERROR(VLOOKUP(C8,Players!$A$2:$C$202,3,FALSE),0)</f>
        <v>29.1</v>
      </c>
      <c r="E8" s="7" t="s">
        <v>109</v>
      </c>
    </row>
    <row r="9" spans="1:5" ht="18" customHeight="1" x14ac:dyDescent="0.45">
      <c r="B9" s="7" t="s">
        <v>111</v>
      </c>
      <c r="C9" s="19" t="s">
        <v>51</v>
      </c>
      <c r="D9" s="8">
        <f>IFERROR(VLOOKUP(C9,Players!$A$2:$C$202,3,FALSE),0)</f>
        <v>24.4</v>
      </c>
      <c r="E9" s="7" t="s">
        <v>109</v>
      </c>
    </row>
    <row r="10" spans="1:5" ht="18" customHeight="1" x14ac:dyDescent="0.45">
      <c r="B10" s="7" t="s">
        <v>112</v>
      </c>
      <c r="C10" s="19" t="s">
        <v>43</v>
      </c>
      <c r="D10" s="8">
        <f>IFERROR(VLOOKUP(C10,Players!$A$2:$C$202,3,FALSE),0)</f>
        <v>30</v>
      </c>
      <c r="E10" s="7" t="s">
        <v>113</v>
      </c>
    </row>
    <row r="11" spans="1:5" ht="18" customHeight="1" x14ac:dyDescent="0.45">
      <c r="B11" s="7" t="s">
        <v>114</v>
      </c>
      <c r="C11" s="19" t="s">
        <v>158</v>
      </c>
      <c r="D11" s="8">
        <f>IFERROR(VLOOKUP(C11,Players!$A$2:$C$202,3,FALSE),0)</f>
        <v>51.5</v>
      </c>
      <c r="E11" s="7" t="s">
        <v>113</v>
      </c>
    </row>
    <row r="12" spans="1:5" ht="18" customHeight="1" x14ac:dyDescent="0.45">
      <c r="B12" s="9" t="s">
        <v>115</v>
      </c>
      <c r="C12" s="20"/>
      <c r="D12" s="11">
        <f>SUM(D6:D11)</f>
        <v>206.20000000000002</v>
      </c>
      <c r="E12" s="10"/>
    </row>
    <row r="13" spans="1:5" ht="18" customHeight="1" x14ac:dyDescent="0.45">
      <c r="C13" s="13"/>
    </row>
    <row r="14" spans="1:5" ht="18" customHeight="1" x14ac:dyDescent="0.45">
      <c r="A14" s="26" t="s">
        <v>116</v>
      </c>
      <c r="B14" s="24"/>
      <c r="C14" s="24"/>
      <c r="D14" s="24"/>
      <c r="E14" s="24"/>
    </row>
    <row r="15" spans="1:5" ht="18" customHeight="1" x14ac:dyDescent="0.45">
      <c r="B15" s="7" t="s">
        <v>107</v>
      </c>
      <c r="C15" s="19" t="s">
        <v>25</v>
      </c>
      <c r="D15" s="8">
        <f>IFERROR(VLOOKUP(C15,Players!$A$2:$C$202,3,FALSE),0)</f>
        <v>26.2</v>
      </c>
      <c r="E15" s="7" t="s">
        <v>107</v>
      </c>
    </row>
    <row r="16" spans="1:5" ht="18" customHeight="1" x14ac:dyDescent="0.45">
      <c r="B16" s="7" t="s">
        <v>108</v>
      </c>
      <c r="C16" s="19" t="s">
        <v>91</v>
      </c>
      <c r="D16" s="8">
        <f>IFERROR(VLOOKUP(C16,Players!$A$2:$C$202,3,FALSE),0)</f>
        <v>25.5</v>
      </c>
      <c r="E16" s="7" t="s">
        <v>109</v>
      </c>
    </row>
    <row r="17" spans="1:8" ht="18" customHeight="1" x14ac:dyDescent="0.45">
      <c r="B17" s="7" t="s">
        <v>110</v>
      </c>
      <c r="C17" s="19" t="s">
        <v>69</v>
      </c>
      <c r="D17" s="8">
        <f>IFERROR(VLOOKUP(C17,Players!$A$2:$C$202,3,FALSE),0)</f>
        <v>30.4</v>
      </c>
      <c r="E17" s="7" t="s">
        <v>109</v>
      </c>
    </row>
    <row r="18" spans="1:8" ht="18" customHeight="1" x14ac:dyDescent="0.45">
      <c r="B18" s="7" t="s">
        <v>111</v>
      </c>
      <c r="C18" s="19" t="s">
        <v>73</v>
      </c>
      <c r="D18" s="8">
        <f>IFERROR(VLOOKUP(C18,Players!$A$2:$C$202,3,FALSE),0)</f>
        <v>32.5</v>
      </c>
      <c r="E18" s="7" t="s">
        <v>109</v>
      </c>
    </row>
    <row r="19" spans="1:8" ht="18" customHeight="1" x14ac:dyDescent="0.45">
      <c r="B19" s="9" t="s">
        <v>115</v>
      </c>
      <c r="C19" s="20"/>
      <c r="D19" s="11">
        <f>SUM(D15:D18)</f>
        <v>114.6</v>
      </c>
      <c r="E19" s="10"/>
    </row>
    <row r="20" spans="1:8" ht="18" customHeight="1" x14ac:dyDescent="0.45"/>
    <row r="21" spans="1:8" ht="18" customHeight="1" x14ac:dyDescent="0.45">
      <c r="A21" s="26" t="s">
        <v>117</v>
      </c>
      <c r="B21" s="24"/>
      <c r="C21" s="24"/>
      <c r="D21" s="24"/>
      <c r="E21" s="24"/>
    </row>
    <row r="22" spans="1:8" ht="18" customHeight="1" x14ac:dyDescent="0.45">
      <c r="B22" s="7" t="s">
        <v>107</v>
      </c>
      <c r="C22" s="19" t="s">
        <v>33</v>
      </c>
      <c r="D22" s="8">
        <f>IFERROR(VLOOKUP(C22,Players!$A$2:$C$202,3,FALSE),0)</f>
        <v>30.7</v>
      </c>
      <c r="E22" s="7" t="s">
        <v>107</v>
      </c>
    </row>
    <row r="23" spans="1:8" ht="18" customHeight="1" x14ac:dyDescent="0.45">
      <c r="B23" s="7" t="s">
        <v>108</v>
      </c>
      <c r="C23" s="19" t="s">
        <v>78</v>
      </c>
      <c r="D23" s="8">
        <f>IFERROR(VLOOKUP(C23,Players!$A$2:$C$202,3,FALSE),0)</f>
        <v>33.6</v>
      </c>
      <c r="E23" s="7" t="s">
        <v>109</v>
      </c>
    </row>
    <row r="24" spans="1:8" ht="18" customHeight="1" x14ac:dyDescent="0.45">
      <c r="B24" s="7" t="s">
        <v>110</v>
      </c>
      <c r="C24" s="19" t="s">
        <v>50</v>
      </c>
      <c r="D24" s="8">
        <f>IFERROR(VLOOKUP(C24,Players!$A$2:$C$202,3,FALSE),0)</f>
        <v>34.5</v>
      </c>
      <c r="E24" s="7" t="s">
        <v>109</v>
      </c>
    </row>
    <row r="25" spans="1:8" ht="18" customHeight="1" x14ac:dyDescent="0.45">
      <c r="B25" s="7" t="s">
        <v>111</v>
      </c>
      <c r="C25" s="19" t="s">
        <v>155</v>
      </c>
      <c r="D25" s="8">
        <f>IFERROR(VLOOKUP(C25,Players!$A$2:$C$202,3,FALSE),0)</f>
        <v>64.099999999999994</v>
      </c>
      <c r="E25" s="7" t="s">
        <v>109</v>
      </c>
    </row>
    <row r="26" spans="1:8" ht="18" customHeight="1" x14ac:dyDescent="0.45">
      <c r="B26" s="7" t="s">
        <v>112</v>
      </c>
      <c r="C26" s="19" t="s">
        <v>36</v>
      </c>
      <c r="D26" s="8">
        <f>IFERROR(VLOOKUP(C26,Players!$A$2:$C$202,3,FALSE),0)</f>
        <v>28.2</v>
      </c>
      <c r="E26" s="7" t="s">
        <v>113</v>
      </c>
    </row>
    <row r="27" spans="1:8" ht="18" customHeight="1" x14ac:dyDescent="0.45">
      <c r="B27" s="9" t="s">
        <v>115</v>
      </c>
      <c r="C27" s="20"/>
      <c r="D27" s="11">
        <f>SUM(D22:D26)</f>
        <v>191.09999999999997</v>
      </c>
      <c r="E27" s="10"/>
      <c r="H27" s="13"/>
    </row>
    <row r="28" spans="1:8" ht="18" customHeight="1" x14ac:dyDescent="0.45"/>
    <row r="29" spans="1:8" ht="18" customHeight="1" x14ac:dyDescent="0.45">
      <c r="A29" s="26" t="s">
        <v>118</v>
      </c>
      <c r="B29" s="24"/>
      <c r="C29" s="24"/>
      <c r="D29" s="24"/>
      <c r="E29" s="24"/>
    </row>
    <row r="30" spans="1:8" ht="18" customHeight="1" x14ac:dyDescent="0.45">
      <c r="B30" s="7" t="s">
        <v>108</v>
      </c>
      <c r="C30" s="19" t="s">
        <v>46</v>
      </c>
      <c r="D30" s="8">
        <f>IFERROR(VLOOKUP(C30,Players!$A$2:$C$202,3,FALSE),0)</f>
        <v>37.700000000000003</v>
      </c>
      <c r="E30" s="7" t="s">
        <v>109</v>
      </c>
    </row>
    <row r="31" spans="1:8" ht="18" customHeight="1" x14ac:dyDescent="0.45">
      <c r="B31" s="7" t="s">
        <v>110</v>
      </c>
      <c r="C31" s="19" t="s">
        <v>86</v>
      </c>
      <c r="D31" s="8">
        <f>IFERROR(VLOOKUP(C31,Players!$A$2:$C$202,3,FALSE),0)</f>
        <v>38.4</v>
      </c>
      <c r="E31" s="7" t="s">
        <v>109</v>
      </c>
    </row>
    <row r="32" spans="1:8" ht="18" customHeight="1" x14ac:dyDescent="0.45">
      <c r="B32" s="7" t="s">
        <v>111</v>
      </c>
      <c r="C32" s="19" t="s">
        <v>13</v>
      </c>
      <c r="D32" s="8">
        <f>IFERROR(VLOOKUP(C32,Players!$A$2:$C$202,3,FALSE),0)</f>
        <v>41.5</v>
      </c>
      <c r="E32" s="7" t="s">
        <v>109</v>
      </c>
    </row>
    <row r="33" spans="1:5" ht="18" customHeight="1" x14ac:dyDescent="0.45">
      <c r="B33" s="7" t="s">
        <v>119</v>
      </c>
      <c r="C33" s="19" t="s">
        <v>77</v>
      </c>
      <c r="D33" s="8">
        <f>IFERROR(VLOOKUP(C33,Players!$A$2:$C$202,3,FALSE),0)</f>
        <v>40.5</v>
      </c>
      <c r="E33" s="7" t="s">
        <v>109</v>
      </c>
    </row>
    <row r="34" spans="1:5" ht="18" customHeight="1" x14ac:dyDescent="0.45">
      <c r="B34" s="7" t="s">
        <v>120</v>
      </c>
      <c r="C34" s="19" t="s">
        <v>76</v>
      </c>
      <c r="D34" s="8">
        <f>IFERROR(VLOOKUP(C34,Players!$A$2:$C$202,3,FALSE),0)</f>
        <v>31.7</v>
      </c>
      <c r="E34" s="7" t="s">
        <v>109</v>
      </c>
    </row>
    <row r="35" spans="1:5" ht="18" customHeight="1" x14ac:dyDescent="0.45">
      <c r="B35" s="9" t="s">
        <v>115</v>
      </c>
      <c r="C35" s="20"/>
      <c r="D35" s="11">
        <f>SUM(D30:D34)</f>
        <v>189.79999999999998</v>
      </c>
      <c r="E35" s="10"/>
    </row>
    <row r="36" spans="1:5" ht="18" customHeight="1" x14ac:dyDescent="0.45"/>
    <row r="37" spans="1:5" ht="18" customHeight="1" x14ac:dyDescent="0.45">
      <c r="A37" s="26" t="s">
        <v>121</v>
      </c>
      <c r="B37" s="24"/>
      <c r="C37" s="24"/>
      <c r="D37" s="24"/>
      <c r="E37" s="24"/>
    </row>
    <row r="38" spans="1:5" ht="18" customHeight="1" x14ac:dyDescent="0.45">
      <c r="B38" s="7" t="s">
        <v>122</v>
      </c>
      <c r="C38" s="19" t="s">
        <v>68</v>
      </c>
      <c r="D38" s="8">
        <f>IFERROR(VLOOKUP(C38,Players!$A:$C,3,FALSE),0)</f>
        <v>30.1</v>
      </c>
      <c r="E38" s="7" t="s">
        <v>123</v>
      </c>
    </row>
    <row r="39" spans="1:5" ht="18" customHeight="1" x14ac:dyDescent="0.45">
      <c r="B39" s="7" t="s">
        <v>124</v>
      </c>
      <c r="C39" s="19" t="s">
        <v>58</v>
      </c>
      <c r="D39" s="8">
        <f>IFERROR(VLOOKUP(C39,Players!$A:$C,3,FALSE),0)</f>
        <v>42.4</v>
      </c>
      <c r="E39" s="7" t="s">
        <v>123</v>
      </c>
    </row>
    <row r="40" spans="1:5" ht="18" customHeight="1" x14ac:dyDescent="0.45">
      <c r="B40" s="7" t="s">
        <v>125</v>
      </c>
      <c r="C40" s="19" t="s">
        <v>67</v>
      </c>
      <c r="D40" s="8">
        <f>IFERROR(VLOOKUP(C40,Players!$A:$C,3,FALSE),0)</f>
        <v>31.5</v>
      </c>
      <c r="E40" s="7" t="s">
        <v>123</v>
      </c>
    </row>
    <row r="41" spans="1:5" ht="18" customHeight="1" x14ac:dyDescent="0.45">
      <c r="B41" s="7" t="s">
        <v>126</v>
      </c>
      <c r="C41" s="19" t="s">
        <v>90</v>
      </c>
      <c r="D41" s="8">
        <f>IFERROR(VLOOKUP(C41,Players!$A:$C,3,FALSE),0)</f>
        <v>26.5</v>
      </c>
      <c r="E41" s="7" t="s">
        <v>123</v>
      </c>
    </row>
    <row r="42" spans="1:5" ht="18" customHeight="1" x14ac:dyDescent="0.45">
      <c r="B42" s="7" t="s">
        <v>127</v>
      </c>
      <c r="C42" s="19" t="s">
        <v>149</v>
      </c>
      <c r="D42" s="8">
        <f>IFERROR(VLOOKUP(C42,Players!$A:$C,3,FALSE),0)</f>
        <v>30.8</v>
      </c>
      <c r="E42" s="7" t="s">
        <v>123</v>
      </c>
    </row>
    <row r="43" spans="1:5" ht="18" customHeight="1" x14ac:dyDescent="0.45">
      <c r="B43" s="7" t="s">
        <v>128</v>
      </c>
      <c r="C43" s="19" t="s">
        <v>156</v>
      </c>
      <c r="D43" s="8">
        <f>IFERROR(VLOOKUP(C43,Players!$A:$C,3,FALSE),0)</f>
        <v>39.9</v>
      </c>
      <c r="E43" s="7" t="s">
        <v>123</v>
      </c>
    </row>
    <row r="44" spans="1:5" ht="18" customHeight="1" x14ac:dyDescent="0.45">
      <c r="B44" s="7" t="s">
        <v>129</v>
      </c>
      <c r="C44" s="19" t="s">
        <v>154</v>
      </c>
      <c r="D44" s="8">
        <f>IFERROR(VLOOKUP(C45,Players!$A:$C,3,FALSE),0)</f>
        <v>51.2</v>
      </c>
      <c r="E44" s="7" t="s">
        <v>123</v>
      </c>
    </row>
    <row r="45" spans="1:5" ht="18" customHeight="1" x14ac:dyDescent="0.45">
      <c r="B45" s="7" t="s">
        <v>130</v>
      </c>
      <c r="C45" s="19" t="s">
        <v>153</v>
      </c>
      <c r="D45" s="8">
        <f>IFERROR(VLOOKUP(#REF!,Players!$A:$C,3,FALSE),0)</f>
        <v>0</v>
      </c>
      <c r="E45" s="7" t="s">
        <v>123</v>
      </c>
    </row>
    <row r="46" spans="1:5" ht="18" customHeight="1" x14ac:dyDescent="0.45">
      <c r="B46" s="7" t="s">
        <v>131</v>
      </c>
      <c r="C46" s="19" t="s">
        <v>157</v>
      </c>
      <c r="D46" s="8">
        <f>IFERROR(VLOOKUP(C46,Players!$A:$C,3,FALSE),0)</f>
        <v>52.5</v>
      </c>
      <c r="E46" s="7" t="s">
        <v>123</v>
      </c>
    </row>
    <row r="47" spans="1:5" ht="18" customHeight="1" x14ac:dyDescent="0.45">
      <c r="B47" s="7" t="s">
        <v>132</v>
      </c>
      <c r="C47" s="19" t="s">
        <v>159</v>
      </c>
      <c r="D47" s="8">
        <f>IFERROR(VLOOKUP(C47,Players!$A:$C,3,FALSE),0)</f>
        <v>0</v>
      </c>
      <c r="E47" s="7" t="s">
        <v>123</v>
      </c>
    </row>
    <row r="48" spans="1:5" ht="18" customHeight="1" x14ac:dyDescent="0.45">
      <c r="B48" s="9" t="s">
        <v>133</v>
      </c>
      <c r="C48" s="20"/>
      <c r="D48" s="11">
        <f>SUM(D38:D47)</f>
        <v>304.90000000000003</v>
      </c>
      <c r="E48" s="10"/>
    </row>
    <row r="49" spans="3:3" ht="18" customHeight="1" x14ac:dyDescent="0.45">
      <c r="C49" s="27"/>
    </row>
    <row r="50" spans="3:3" ht="18" customHeight="1" x14ac:dyDescent="0.45"/>
    <row r="51" spans="3:3" ht="18" customHeight="1" x14ac:dyDescent="0.45"/>
    <row r="52" spans="3:3" ht="18" customHeight="1" x14ac:dyDescent="0.45"/>
    <row r="53" spans="3:3" ht="18" customHeight="1" x14ac:dyDescent="0.45"/>
    <row r="54" spans="3:3" ht="18" customHeight="1" x14ac:dyDescent="0.45"/>
    <row r="55" spans="3:3" ht="18" customHeight="1" x14ac:dyDescent="0.45"/>
    <row r="56" spans="3:3" ht="18" customHeight="1" x14ac:dyDescent="0.45"/>
    <row r="57" spans="3:3" ht="18" customHeight="1" x14ac:dyDescent="0.45"/>
    <row r="58" spans="3:3" ht="18" customHeight="1" x14ac:dyDescent="0.45"/>
    <row r="59" spans="3:3" ht="18" customHeight="1" x14ac:dyDescent="0.45"/>
    <row r="60" spans="3:3" ht="18" customHeight="1" x14ac:dyDescent="0.45"/>
    <row r="61" spans="3:3" ht="18" customHeight="1" x14ac:dyDescent="0.45"/>
    <row r="62" spans="3:3" ht="18" customHeight="1" x14ac:dyDescent="0.45"/>
    <row r="63" spans="3:3" ht="18" customHeight="1" x14ac:dyDescent="0.45"/>
    <row r="64" spans="3:3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</sheetData>
  <mergeCells count="7">
    <mergeCell ref="A1:E1"/>
    <mergeCell ref="B3:E3"/>
    <mergeCell ref="A37:E37"/>
    <mergeCell ref="A14:E14"/>
    <mergeCell ref="A21:E21"/>
    <mergeCell ref="A29:E29"/>
    <mergeCell ref="A5:E5"/>
  </mergeCells>
  <conditionalFormatting sqref="C5:C200">
    <cfRule type="expression" dxfId="1" priority="1">
      <formula>AND(C5&lt;&gt;"",COUNTIF(TFA_Assign,C5)+COUNTIF(TFB_Assign,C5)&gt;1)</formula>
    </cfRule>
    <cfRule type="expression" dxfId="0" priority="2">
      <formula>COUNTIF($C$5:$C$200,C5)&gt;1</formula>
    </cfRule>
  </conditionalFormatting>
  <pageMargins left="0.7" right="0.7" top="0.75" bottom="0.75" header="0.3" footer="0.3"/>
  <headerFooter>
    <oddHeader>&amp;C&amp;"Calibri"&amp;1 &amp;K000000 Classification: General#_x000D_</oddHeader>
  </headerFooter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xr:uid="{00000000-0002-0000-0200-000000000000}">
          <x14:formula1>
            <xm:f>Players!$A$2:$A$203</xm:f>
          </x14:formula1>
          <xm:sqref>C6:C200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7"/>
  <sheetViews>
    <sheetView showGridLines="0" workbookViewId="0">
      <selection sqref="A1:D1"/>
    </sheetView>
  </sheetViews>
  <sheetFormatPr defaultRowHeight="14.25" x14ac:dyDescent="0.45"/>
  <cols>
    <col min="1" max="1" width="24" style="15" customWidth="1"/>
    <col min="2" max="2" width="18" style="15" customWidth="1"/>
    <col min="3" max="3" width="20" style="15" customWidth="1"/>
    <col min="4" max="4" width="18" style="15" customWidth="1"/>
  </cols>
  <sheetData>
    <row r="1" spans="1:4" ht="28.05" customHeight="1" x14ac:dyDescent="0.45">
      <c r="A1" s="23" t="s">
        <v>135</v>
      </c>
      <c r="B1" s="24"/>
      <c r="C1" s="24"/>
      <c r="D1" s="24"/>
    </row>
    <row r="2" spans="1:4" x14ac:dyDescent="0.45">
      <c r="A2" s="6" t="s">
        <v>136</v>
      </c>
      <c r="B2" s="6" t="s">
        <v>137</v>
      </c>
      <c r="C2" s="6" t="s">
        <v>138</v>
      </c>
    </row>
    <row r="3" spans="1:4" x14ac:dyDescent="0.45">
      <c r="A3" s="4" t="s">
        <v>139</v>
      </c>
      <c r="B3" s="5">
        <f>'Task Force A'!B2</f>
        <v>2179.1999999999998</v>
      </c>
      <c r="C3">
        <v>0</v>
      </c>
    </row>
    <row r="4" spans="1:4" x14ac:dyDescent="0.45">
      <c r="A4" s="4" t="s">
        <v>140</v>
      </c>
      <c r="B4" s="5">
        <f>'Task Force B'!B2</f>
        <v>2013.2000000000005</v>
      </c>
      <c r="C4" s="5">
        <f>B4-B3</f>
        <v>-165.99999999999932</v>
      </c>
    </row>
    <row r="6" spans="1:4" x14ac:dyDescent="0.45">
      <c r="A6" s="4" t="s">
        <v>141</v>
      </c>
    </row>
    <row r="7" spans="1:4" x14ac:dyDescent="0.45">
      <c r="A7" t="s">
        <v>142</v>
      </c>
      <c r="B7" s="4" t="str">
        <f>IF(DupCount&gt;0,"YES","NO")</f>
        <v>NO</v>
      </c>
    </row>
  </sheetData>
  <mergeCells count="1">
    <mergeCell ref="A1:D1"/>
  </mergeCells>
  <pageMargins left="0.7" right="0.7" top="0.75" bottom="0.75" header="0.3" footer="0.3"/>
  <headerFooter>
    <oddHeader>&amp;C&amp;"Calibri"&amp;1 &amp;K000000 Classification: General#_x000D_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Players</vt:lpstr>
      <vt:lpstr>Task Force A</vt:lpstr>
      <vt:lpstr>Task Force B</vt:lpstr>
      <vt:lpstr>Dashboard</vt:lpstr>
      <vt:lpstr>TFA_Assign</vt:lpstr>
      <vt:lpstr>TFB_Assign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Colby Hodnett</cp:lastModifiedBy>
  <dcterms:created xsi:type="dcterms:W3CDTF">2026-02-16T19:08:31Z</dcterms:created>
  <dcterms:modified xsi:type="dcterms:W3CDTF">2026-03-22T14:39:27Z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63343a0-58fd-4211-b036-405fbe826e5f_Enabled">
    <vt:lpwstr>true</vt:lpwstr>
  </property>
  <property fmtid="{D5CDD505-2E9C-101B-9397-08002B2CF9AE}" pid="3" name="MSIP_Label_f63343a0-58fd-4211-b036-405fbe826e5f_SetDate">
    <vt:lpwstr>2026-02-16T19:05:49Z</vt:lpwstr>
  </property>
  <property fmtid="{D5CDD505-2E9C-101B-9397-08002B2CF9AE}" pid="4" name="MSIP_Label_f63343a0-58fd-4211-b036-405fbe826e5f_Method">
    <vt:lpwstr>Privileged</vt:lpwstr>
  </property>
  <property fmtid="{D5CDD505-2E9C-101B-9397-08002B2CF9AE}" pid="5" name="MSIP_Label_f63343a0-58fd-4211-b036-405fbe826e5f_Name">
    <vt:lpwstr>Public</vt:lpwstr>
  </property>
  <property fmtid="{D5CDD505-2E9C-101B-9397-08002B2CF9AE}" pid="6" name="MSIP_Label_f63343a0-58fd-4211-b036-405fbe826e5f_SiteId">
    <vt:lpwstr>c9ce590b-8097-4726-8e43-1a9492e62b0b</vt:lpwstr>
  </property>
  <property fmtid="{D5CDD505-2E9C-101B-9397-08002B2CF9AE}" pid="7" name="MSIP_Label_f63343a0-58fd-4211-b036-405fbe826e5f_ActionId">
    <vt:lpwstr>0cfa6f12-3735-4357-a90c-da58dc5986a5</vt:lpwstr>
  </property>
  <property fmtid="{D5CDD505-2E9C-101B-9397-08002B2CF9AE}" pid="8" name="MSIP_Label_f63343a0-58fd-4211-b036-405fbe826e5f_ContentBits">
    <vt:lpwstr>1</vt:lpwstr>
  </property>
  <property fmtid="{D5CDD505-2E9C-101B-9397-08002B2CF9AE}" pid="9" name="MSIP_Label_f63343a0-58fd-4211-b036-405fbe826e5f_Tag">
    <vt:lpwstr>10, 0, 1, 1</vt:lpwstr>
  </property>
</Properties>
</file>